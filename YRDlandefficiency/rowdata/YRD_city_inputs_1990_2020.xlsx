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2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<sst xmlns="http://schemas.openxmlformats.org/spreadsheetml/2006/main" count="137" uniqueCount="134">
  <si>
    <t>常住人口数/万人</t>
  </si>
  <si>
    <t>用地面积/Km2</t>
  </si>
  <si>
    <t>名义GDP/亿元</t>
  </si>
  <si>
    <t>真实GDP/亿元</t>
  </si>
  <si>
    <t>CO2排放量/万吨</t>
  </si>
  <si>
    <t>全称</t>
  </si>
  <si>
    <t>简称</t>
  </si>
  <si>
    <t>上海市</t>
  </si>
  <si>
    <t>沪</t>
  </si>
  <si>
    <t>江苏省</t>
  </si>
  <si>
    <t>常州市</t>
  </si>
  <si>
    <t>常州</t>
  </si>
  <si>
    <t>常</t>
  </si>
  <si>
    <t>淮安市</t>
  </si>
  <si>
    <t>淮安</t>
  </si>
  <si>
    <t>淮</t>
  </si>
  <si>
    <t>连云港市</t>
  </si>
  <si>
    <t>连云港</t>
  </si>
  <si>
    <t>连</t>
  </si>
  <si>
    <t>南京市</t>
  </si>
  <si>
    <t>南京</t>
  </si>
  <si>
    <t>宁</t>
  </si>
  <si>
    <t>南通市</t>
  </si>
  <si>
    <t>南通</t>
  </si>
  <si>
    <t>通</t>
  </si>
  <si>
    <t>苏州市</t>
  </si>
  <si>
    <t>苏州</t>
  </si>
  <si>
    <t>苏</t>
  </si>
  <si>
    <t>宿迁市</t>
  </si>
  <si>
    <t>宿迁</t>
  </si>
  <si>
    <t>迁</t>
  </si>
  <si>
    <t>泰州市</t>
  </si>
  <si>
    <t>泰州</t>
  </si>
  <si>
    <t>泰</t>
  </si>
  <si>
    <t>无锡市</t>
  </si>
  <si>
    <t>无锡</t>
  </si>
  <si>
    <t>锡</t>
  </si>
  <si>
    <t>徐州市</t>
  </si>
  <si>
    <t>徐州</t>
  </si>
  <si>
    <t>徐</t>
  </si>
  <si>
    <t>盐城市</t>
  </si>
  <si>
    <t>盐城</t>
  </si>
  <si>
    <t>盐</t>
  </si>
  <si>
    <t>扬州市</t>
  </si>
  <si>
    <t>扬州</t>
  </si>
  <si>
    <t>扬</t>
  </si>
  <si>
    <t>镇江市</t>
  </si>
  <si>
    <t>镇江</t>
  </si>
  <si>
    <t>镇</t>
  </si>
  <si>
    <t>浙江省</t>
  </si>
  <si>
    <t>杭州市</t>
  </si>
  <si>
    <t>杭州</t>
  </si>
  <si>
    <t>杭</t>
  </si>
  <si>
    <t>湖州市</t>
  </si>
  <si>
    <t>湖州</t>
  </si>
  <si>
    <t>湖</t>
  </si>
  <si>
    <t>嘉兴市</t>
  </si>
  <si>
    <t>嘉兴</t>
  </si>
  <si>
    <t>嘉</t>
  </si>
  <si>
    <t>金华市</t>
  </si>
  <si>
    <t>金华</t>
  </si>
  <si>
    <t>金</t>
  </si>
  <si>
    <t>丽水市</t>
  </si>
  <si>
    <t>丽水</t>
  </si>
  <si>
    <t>丽</t>
  </si>
  <si>
    <t>宁波市</t>
  </si>
  <si>
    <t>宁波</t>
  </si>
  <si>
    <t>甬</t>
  </si>
  <si>
    <t>衢州市</t>
  </si>
  <si>
    <t>衢州</t>
  </si>
  <si>
    <t>衢</t>
  </si>
  <si>
    <t>绍兴市</t>
  </si>
  <si>
    <t>绍兴</t>
  </si>
  <si>
    <t>绍</t>
  </si>
  <si>
    <t>台州市</t>
  </si>
  <si>
    <t>台州</t>
  </si>
  <si>
    <t>台</t>
  </si>
  <si>
    <t>温州市</t>
  </si>
  <si>
    <t>温州</t>
  </si>
  <si>
    <t>温</t>
  </si>
  <si>
    <t>舟山市</t>
  </si>
  <si>
    <t>舟山</t>
  </si>
  <si>
    <t>舟</t>
  </si>
  <si>
    <t>安徽省</t>
  </si>
  <si>
    <t>安庆市</t>
  </si>
  <si>
    <t>安庆</t>
  </si>
  <si>
    <t>安</t>
  </si>
  <si>
    <t>蚌埠市</t>
  </si>
  <si>
    <t>蚌埠</t>
  </si>
  <si>
    <t>蚌</t>
  </si>
  <si>
    <t>亳州市</t>
  </si>
  <si>
    <t>亳州</t>
  </si>
  <si>
    <t>亳</t>
  </si>
  <si>
    <t>池州市</t>
  </si>
  <si>
    <t>池州</t>
  </si>
  <si>
    <t>池</t>
  </si>
  <si>
    <t>滁州市</t>
  </si>
  <si>
    <t>滁州</t>
  </si>
  <si>
    <t>滁</t>
  </si>
  <si>
    <t>阜阳市</t>
  </si>
  <si>
    <t>阜阳</t>
  </si>
  <si>
    <t>阜</t>
  </si>
  <si>
    <t>合肥市</t>
  </si>
  <si>
    <t>合肥</t>
  </si>
  <si>
    <t>庐</t>
  </si>
  <si>
    <t>淮北市</t>
  </si>
  <si>
    <t>淮北</t>
  </si>
  <si>
    <t>淮南市</t>
  </si>
  <si>
    <t>淮南</t>
  </si>
  <si>
    <t>黄山市</t>
  </si>
  <si>
    <t>黄山</t>
  </si>
  <si>
    <t>黄</t>
  </si>
  <si>
    <t>六安市</t>
  </si>
  <si>
    <t>六安</t>
  </si>
  <si>
    <t>六</t>
  </si>
  <si>
    <t>马鞍山市</t>
  </si>
  <si>
    <t>马鞍山</t>
  </si>
  <si>
    <t>马</t>
  </si>
  <si>
    <t>宿州市</t>
  </si>
  <si>
    <t>宿州</t>
  </si>
  <si>
    <t>宿</t>
  </si>
  <si>
    <t>铜陵市</t>
  </si>
  <si>
    <t>铜陵</t>
  </si>
  <si>
    <t>铜</t>
  </si>
  <si>
    <t>芜湖市</t>
  </si>
  <si>
    <t>芜湖</t>
  </si>
  <si>
    <t>芜</t>
  </si>
  <si>
    <t>宣城市</t>
  </si>
  <si>
    <t>宣城</t>
  </si>
  <si>
    <t>宣</t>
  </si>
  <si>
    <t>长三角</t>
  </si>
  <si>
    <t>江苏</t>
  </si>
  <si>
    <t>浙江</t>
  </si>
  <si>
    <t>安徽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</si>
</sst>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000000"/>
      <name val="宋体"/>
      <charset val="134"/>
    </font>
    <font>
      <sz val="11"/>
      <name val="宋体"/>
      <charset val="134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2" applyNumberFormat="0" applyAlignment="0" applyProtection="0">
      <alignment vertical="center"/>
    </xf>
    <xf numFmtId="0" fontId="14" fillId="6" borderId="13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3" fontId="0" fillId="2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1" xfId="0" applyFont="1" applyFill="1" applyBorder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2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3" xfId="0" applyFont="1" applyFill="1" applyBorder="1" applyAlignment="1">
      <alignment vertical="center"/>
    </xf>
    <xf numFmtId="0" fontId="1" fillId="0" borderId="4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176" fontId="3" fillId="0" borderId="7" xfId="0" applyNumberFormat="1" applyFont="1" applyFill="1" applyBorder="1" applyAlignment="1" applyProtection="1">
      <alignment vertical="center"/>
      <protection locked="0"/>
    </xf>
    <xf numFmtId="176" fontId="3" fillId="0" borderId="6" xfId="0" applyNumberFormat="1" applyFont="1" applyFill="1" applyBorder="1" applyAlignment="1">
      <alignment vertical="center"/>
    </xf>
    <xf numFmtId="176" fontId="3" fillId="0" borderId="7" xfId="0" applyNumberFormat="1" applyFont="1" applyFill="1" applyBorder="1" applyAlignment="1">
      <alignment vertical="center"/>
    </xf>
    <xf numFmtId="176" fontId="3" fillId="0" borderId="8" xfId="0" applyNumberFormat="1" applyFont="1" applyFill="1" applyBorder="1" applyAlignment="1">
      <alignment vertical="center"/>
    </xf>
    <xf numFmtId="176" fontId="3" fillId="3" borderId="6" xfId="0" applyNumberFormat="1" applyFont="1" applyFill="1" applyBorder="1" applyAlignment="1">
      <alignment vertical="center"/>
    </xf>
    <xf numFmtId="176" fontId="3" fillId="0" borderId="4" xfId="0" applyNumberFormat="1" applyFont="1" applyFill="1" applyBorder="1" applyAlignment="1">
      <alignment vertical="center"/>
    </xf>
    <xf numFmtId="43" fontId="4" fillId="0" borderId="3" xfId="0" applyNumberFormat="1" applyFont="1" applyFill="1" applyBorder="1" applyAlignment="1">
      <alignment vertical="center"/>
    </xf>
    <xf numFmtId="0" fontId="1" fillId="0" borderId="6" xfId="0" applyFont="1" applyFill="1" applyBorder="1" applyAlignment="1">
      <alignment horizontal="center" vertical="center"/>
    </xf>
    <xf numFmtId="43" fontId="0" fillId="0" borderId="6" xfId="0" applyNumberFormat="1" applyFill="1" applyBorder="1" applyAlignment="1">
      <alignment vertical="center"/>
    </xf>
    <xf numFmtId="43" fontId="0" fillId="0" borderId="0" xfId="0" applyNumberFormat="1" applyFill="1" applyBorder="1" applyAlignment="1">
      <alignment vertical="center"/>
    </xf>
    <xf numFmtId="43" fontId="4" fillId="0" borderId="0" xfId="0" applyNumberFormat="1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176" fontId="3" fillId="0" borderId="1" xfId="0" applyNumberFormat="1" applyFont="1" applyFill="1" applyBorder="1" applyAlignment="1">
      <alignment vertical="center"/>
    </xf>
    <xf numFmtId="176" fontId="3" fillId="0" borderId="0" xfId="0" applyNumberFormat="1" applyFont="1" applyFill="1" applyAlignment="1">
      <alignment vertical="center"/>
    </xf>
    <xf numFmtId="176" fontId="3" fillId="0" borderId="2" xfId="0" applyNumberFormat="1" applyFont="1" applyFill="1" applyBorder="1" applyAlignment="1">
      <alignment vertical="center"/>
    </xf>
    <xf numFmtId="176" fontId="3" fillId="3" borderId="0" xfId="0" applyNumberFormat="1" applyFont="1" applyFill="1" applyAlignment="1">
      <alignment vertical="center"/>
    </xf>
    <xf numFmtId="43" fontId="0" fillId="0" borderId="0" xfId="0" applyNumberFormat="1" applyFill="1" applyAlignment="1">
      <alignment vertical="center"/>
    </xf>
    <xf numFmtId="0" fontId="1" fillId="0" borderId="3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176" fontId="3" fillId="0" borderId="0" xfId="0" applyNumberFormat="1" applyFont="1" applyFill="1" applyBorder="1" applyAlignment="1">
      <alignment vertical="center"/>
    </xf>
    <xf numFmtId="176" fontId="3" fillId="3" borderId="0" xfId="0" applyNumberFormat="1" applyFont="1" applyFill="1" applyBorder="1" applyAlignment="1">
      <alignment vertical="center"/>
    </xf>
    <xf numFmtId="176" fontId="3" fillId="0" borderId="3" xfId="0" applyNumberFormat="1" applyFont="1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6" fontId="3" fillId="3" borderId="1" xfId="0" applyNumberFormat="1" applyFont="1" applyFill="1" applyBorder="1" applyAlignment="1">
      <alignment vertical="center"/>
    </xf>
    <xf numFmtId="176" fontId="3" fillId="3" borderId="2" xfId="0" applyNumberFormat="1" applyFont="1" applyFill="1" applyBorder="1" applyAlignment="1">
      <alignment vertical="center"/>
    </xf>
    <xf numFmtId="43" fontId="0" fillId="3" borderId="0" xfId="0" applyNumberFormat="1" applyFill="1" applyAlignment="1">
      <alignment vertical="center"/>
    </xf>
    <xf numFmtId="43" fontId="4" fillId="3" borderId="0" xfId="0" applyNumberFormat="1" applyFont="1" applyFill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right" vertical="center"/>
    </xf>
    <xf numFmtId="176" fontId="0" fillId="3" borderId="4" xfId="0" applyNumberFormat="1" applyFill="1" applyBorder="1" applyAlignment="1">
      <alignment vertical="center"/>
    </xf>
    <xf numFmtId="0" fontId="0" fillId="0" borderId="0" xfId="0" applyFill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7"/>
  <sheetViews>
    <sheetView tabSelected="1" zoomScale="55" zoomScaleNormal="55" workbookViewId="0">
      <selection activeCell="AF17" sqref="AF17"/>
    </sheetView>
  </sheetViews>
  <sheetFormatPr defaultColWidth="9.23076923076923" defaultRowHeight="16.8"/>
  <sheetData>
    <row r="1" spans="1:24">
      <c r="A1" s="1"/>
      <c r="B1" s="2"/>
      <c r="C1" s="1"/>
      <c r="D1" s="1"/>
      <c r="E1" s="3" t="s">
        <v>0</v>
      </c>
      <c r="F1" s="4"/>
      <c r="G1" s="4"/>
      <c r="H1" s="4"/>
      <c r="I1" s="3" t="s">
        <v>1</v>
      </c>
      <c r="J1" s="4"/>
      <c r="K1" s="4"/>
      <c r="L1" s="5"/>
      <c r="M1" s="6" t="s">
        <v>2</v>
      </c>
      <c r="N1" s="4"/>
      <c r="O1" s="4"/>
      <c r="P1" s="4"/>
      <c r="Q1" s="7" t="s">
        <v>3</v>
      </c>
      <c r="R1" s="7"/>
      <c r="S1" s="7"/>
      <c r="T1" s="7"/>
      <c r="U1" s="7" t="s">
        <v>4</v>
      </c>
      <c r="V1" s="7"/>
      <c r="W1" s="7"/>
      <c r="X1" s="7"/>
    </row>
    <row r="2" spans="1:24">
      <c r="A2" s="1"/>
      <c r="B2" s="8" t="s">
        <v>5</v>
      </c>
      <c r="C2" s="1"/>
      <c r="D2" s="1" t="s">
        <v>6</v>
      </c>
      <c r="E2" s="9">
        <v>1990</v>
      </c>
      <c r="F2" s="10">
        <v>2000</v>
      </c>
      <c r="G2" s="10">
        <v>2010</v>
      </c>
      <c r="H2" s="10">
        <v>2020</v>
      </c>
      <c r="I2" s="9">
        <v>1990</v>
      </c>
      <c r="J2" s="10">
        <v>2000</v>
      </c>
      <c r="K2" s="10">
        <v>2010</v>
      </c>
      <c r="L2" s="11">
        <v>2020</v>
      </c>
      <c r="M2" s="12">
        <v>1990</v>
      </c>
      <c r="N2" s="12">
        <v>2000</v>
      </c>
      <c r="O2" s="12">
        <v>2010</v>
      </c>
      <c r="P2" s="12">
        <v>2020</v>
      </c>
      <c r="Q2" s="13">
        <v>1990</v>
      </c>
      <c r="R2" s="13">
        <v>2000</v>
      </c>
      <c r="S2" s="13">
        <v>2010</v>
      </c>
      <c r="T2" s="13">
        <v>2020</v>
      </c>
      <c r="U2" s="13">
        <v>1990</v>
      </c>
      <c r="V2" s="13">
        <v>2000</v>
      </c>
      <c r="W2" s="13">
        <v>2010</v>
      </c>
      <c r="X2" s="13">
        <v>2020</v>
      </c>
    </row>
    <row r="3" spans="1:24">
      <c r="A3" s="14"/>
      <c r="B3" s="15" t="s">
        <v>7</v>
      </c>
      <c r="C3" s="16" t="s">
        <v>7</v>
      </c>
      <c r="D3" s="16" t="s">
        <v>8</v>
      </c>
      <c r="E3" s="17">
        <v>1334.1878</v>
      </c>
      <c r="F3" s="18">
        <v>1640.7709</v>
      </c>
      <c r="G3" s="18">
        <v>2301.9148</v>
      </c>
      <c r="H3" s="18">
        <v>2487.0895</v>
      </c>
      <c r="I3" s="19">
        <v>1041.05</v>
      </c>
      <c r="J3" s="18">
        <v>1447.57</v>
      </c>
      <c r="K3" s="18">
        <v>2350.07</v>
      </c>
      <c r="L3" s="20">
        <v>2880.66</v>
      </c>
      <c r="M3" s="21">
        <v>781.66</v>
      </c>
      <c r="N3" s="21">
        <v>4812.15</v>
      </c>
      <c r="O3" s="21">
        <v>17915.41</v>
      </c>
      <c r="P3" s="21">
        <v>38963.3</v>
      </c>
      <c r="Q3" s="18">
        <v>646.01408</v>
      </c>
      <c r="R3" s="18">
        <v>2076.0841</v>
      </c>
      <c r="S3" s="18">
        <v>6174.23592</v>
      </c>
      <c r="T3" s="22">
        <v>11704.91305</v>
      </c>
      <c r="U3" s="23">
        <v>5501.94962361699</v>
      </c>
      <c r="V3" s="23">
        <v>9401.29968330227</v>
      </c>
      <c r="W3" s="23">
        <v>20379.9818741775</v>
      </c>
      <c r="X3" s="23">
        <v>23014.1257257746</v>
      </c>
    </row>
    <row r="4" spans="1:24">
      <c r="A4" s="24" t="s">
        <v>9</v>
      </c>
      <c r="B4" s="15" t="s">
        <v>10</v>
      </c>
      <c r="C4" s="16" t="s">
        <v>11</v>
      </c>
      <c r="D4" s="16" t="s">
        <v>12</v>
      </c>
      <c r="E4" s="19">
        <v>327.97</v>
      </c>
      <c r="F4" s="18">
        <v>377.627</v>
      </c>
      <c r="G4" s="18">
        <v>459.1972</v>
      </c>
      <c r="H4" s="18">
        <v>527.8121</v>
      </c>
      <c r="I4" s="19">
        <v>340.05</v>
      </c>
      <c r="J4" s="18">
        <v>588.9</v>
      </c>
      <c r="K4" s="18">
        <v>924.97</v>
      </c>
      <c r="L4" s="20">
        <v>1051.85</v>
      </c>
      <c r="M4" s="21">
        <v>94.8687</v>
      </c>
      <c r="N4" s="21">
        <v>600.6573</v>
      </c>
      <c r="O4" s="21">
        <v>3091.85</v>
      </c>
      <c r="P4" s="21">
        <v>7810.32</v>
      </c>
      <c r="Q4" s="25">
        <v>58.5969355298865</v>
      </c>
      <c r="R4" s="25">
        <v>228.625537261966</v>
      </c>
      <c r="S4" s="25">
        <v>837.523943928044</v>
      </c>
      <c r="T4" s="26">
        <v>1825.05820488824</v>
      </c>
      <c r="U4" s="27">
        <v>659.73134364306</v>
      </c>
      <c r="V4" s="27">
        <v>1067.57956483725</v>
      </c>
      <c r="W4" s="27">
        <v>5826.60188331282</v>
      </c>
      <c r="X4" s="27">
        <v>6788.92935971533</v>
      </c>
    </row>
    <row r="5" spans="1:24">
      <c r="A5" s="1"/>
      <c r="B5" s="15" t="s">
        <v>13</v>
      </c>
      <c r="C5" s="28" t="s">
        <v>14</v>
      </c>
      <c r="D5" s="28" t="s">
        <v>15</v>
      </c>
      <c r="E5" s="29">
        <v>535.74</v>
      </c>
      <c r="F5" s="30">
        <v>503.8231</v>
      </c>
      <c r="G5" s="30">
        <v>479.9889</v>
      </c>
      <c r="H5" s="30">
        <v>455.623</v>
      </c>
      <c r="I5" s="29">
        <v>1601.3</v>
      </c>
      <c r="J5" s="30">
        <v>1637.97</v>
      </c>
      <c r="K5" s="30">
        <v>1951.17</v>
      </c>
      <c r="L5" s="31">
        <v>2035.74</v>
      </c>
      <c r="M5" s="32">
        <v>59.9</v>
      </c>
      <c r="N5" s="32">
        <v>289.43</v>
      </c>
      <c r="O5" s="32">
        <v>1396.38</v>
      </c>
      <c r="P5" s="32">
        <v>4003.37</v>
      </c>
      <c r="Q5" s="33">
        <v>36.9980450690291</v>
      </c>
      <c r="R5" s="33">
        <v>110.1644635797</v>
      </c>
      <c r="S5" s="33">
        <v>378.253047470687</v>
      </c>
      <c r="T5" s="33">
        <v>935.478093817337</v>
      </c>
      <c r="U5" s="27">
        <v>616.024681097771</v>
      </c>
      <c r="V5" s="27">
        <v>1028.85514030671</v>
      </c>
      <c r="W5" s="27">
        <v>2635.98622177317</v>
      </c>
      <c r="X5" s="27">
        <v>3044.54133827602</v>
      </c>
    </row>
    <row r="6" spans="1:24">
      <c r="A6" s="1"/>
      <c r="B6" s="15" t="s">
        <v>16</v>
      </c>
      <c r="C6" s="28" t="s">
        <v>17</v>
      </c>
      <c r="D6" s="28" t="s">
        <v>18</v>
      </c>
      <c r="E6" s="29">
        <v>343.97</v>
      </c>
      <c r="F6" s="30">
        <v>456.9913</v>
      </c>
      <c r="G6" s="30">
        <v>439.3914</v>
      </c>
      <c r="H6" s="30">
        <v>459.936</v>
      </c>
      <c r="I6" s="29">
        <v>1577.87</v>
      </c>
      <c r="J6" s="30">
        <v>1597.61</v>
      </c>
      <c r="K6" s="30">
        <v>1882.16</v>
      </c>
      <c r="L6" s="31">
        <v>1747.04</v>
      </c>
      <c r="M6" s="32">
        <v>55.19</v>
      </c>
      <c r="N6" s="32">
        <v>249.07</v>
      </c>
      <c r="O6" s="32">
        <v>1201.79</v>
      </c>
      <c r="P6" s="32">
        <v>3277.07</v>
      </c>
      <c r="Q6" s="33">
        <v>34.0888498724493</v>
      </c>
      <c r="R6" s="33">
        <v>94.802414897543</v>
      </c>
      <c r="S6" s="33">
        <v>325.542280697086</v>
      </c>
      <c r="T6" s="33">
        <v>765.761645040549</v>
      </c>
      <c r="U6" s="27">
        <v>671.710183317714</v>
      </c>
      <c r="V6" s="27">
        <v>1108.8016688693</v>
      </c>
      <c r="W6" s="27">
        <v>2585.36312747496</v>
      </c>
      <c r="X6" s="27">
        <v>4582.79680240714</v>
      </c>
    </row>
    <row r="7" spans="1:24">
      <c r="A7" s="1"/>
      <c r="B7" s="15" t="s">
        <v>19</v>
      </c>
      <c r="C7" s="28" t="s">
        <v>20</v>
      </c>
      <c r="D7" s="28" t="s">
        <v>21</v>
      </c>
      <c r="E7" s="29">
        <v>516.81</v>
      </c>
      <c r="F7" s="30">
        <v>612.6165</v>
      </c>
      <c r="G7" s="30">
        <v>800.468</v>
      </c>
      <c r="H7" s="30">
        <v>931.4685</v>
      </c>
      <c r="I7" s="29">
        <v>835.85</v>
      </c>
      <c r="J7" s="30">
        <v>1056.24</v>
      </c>
      <c r="K7" s="30">
        <v>1552.98</v>
      </c>
      <c r="L7" s="31">
        <v>1753</v>
      </c>
      <c r="M7" s="32">
        <v>176.52</v>
      </c>
      <c r="N7" s="32">
        <v>1073.54</v>
      </c>
      <c r="O7" s="32">
        <v>5198.2</v>
      </c>
      <c r="P7" s="32">
        <v>14782.95</v>
      </c>
      <c r="Q7" s="33">
        <v>109.029965201753</v>
      </c>
      <c r="R7" s="33">
        <v>408.616792424252</v>
      </c>
      <c r="S7" s="33">
        <v>1408.09449531082</v>
      </c>
      <c r="T7" s="33">
        <v>3454.37116404354</v>
      </c>
      <c r="U7" s="27">
        <v>2629.35048823358</v>
      </c>
      <c r="V7" s="27">
        <v>4143.08533659774</v>
      </c>
      <c r="W7" s="27">
        <v>10214.4018095153</v>
      </c>
      <c r="X7" s="27">
        <v>11791.8119794598</v>
      </c>
    </row>
    <row r="8" spans="1:24">
      <c r="A8" s="1"/>
      <c r="B8" s="15" t="s">
        <v>22</v>
      </c>
      <c r="C8" s="28" t="s">
        <v>23</v>
      </c>
      <c r="D8" s="28" t="s">
        <v>24</v>
      </c>
      <c r="E8" s="29">
        <v>766.79</v>
      </c>
      <c r="F8" s="30">
        <v>751.2919</v>
      </c>
      <c r="G8" s="30">
        <v>728.2835</v>
      </c>
      <c r="H8" s="30">
        <v>772.6635</v>
      </c>
      <c r="I8" s="29">
        <v>358.39</v>
      </c>
      <c r="J8" s="30">
        <v>513.19</v>
      </c>
      <c r="K8" s="30">
        <v>1019.68</v>
      </c>
      <c r="L8" s="31">
        <v>1371.63</v>
      </c>
      <c r="M8" s="32">
        <v>134.2454</v>
      </c>
      <c r="N8" s="32">
        <v>720.5859</v>
      </c>
      <c r="O8" s="32">
        <v>3510.56</v>
      </c>
      <c r="P8" s="32">
        <v>10018.3109</v>
      </c>
      <c r="Q8" s="33">
        <v>82.9184868031692</v>
      </c>
      <c r="R8" s="33">
        <v>274.273431007827</v>
      </c>
      <c r="S8" s="33">
        <v>950.944598410672</v>
      </c>
      <c r="T8" s="33">
        <v>2341.00529903592</v>
      </c>
      <c r="U8" s="27">
        <v>450.968569778772</v>
      </c>
      <c r="V8" s="27">
        <v>553.992930152648</v>
      </c>
      <c r="W8" s="27">
        <v>2529.19371496092</v>
      </c>
      <c r="X8" s="27">
        <v>3075.54156101418</v>
      </c>
    </row>
    <row r="9" spans="1:24">
      <c r="A9" s="1"/>
      <c r="B9" s="15" t="s">
        <v>25</v>
      </c>
      <c r="C9" s="28" t="s">
        <v>26</v>
      </c>
      <c r="D9" s="28" t="s">
        <v>27</v>
      </c>
      <c r="E9" s="29">
        <v>564.35</v>
      </c>
      <c r="F9" s="30">
        <v>679.2239</v>
      </c>
      <c r="G9" s="30">
        <v>1046.5994</v>
      </c>
      <c r="H9" s="30">
        <v>1274.8262</v>
      </c>
      <c r="I9" s="29">
        <v>549.85</v>
      </c>
      <c r="J9" s="30">
        <v>1016.87</v>
      </c>
      <c r="K9" s="30">
        <v>2197.5</v>
      </c>
      <c r="L9" s="31">
        <v>2452.43</v>
      </c>
      <c r="M9" s="32">
        <v>202.14</v>
      </c>
      <c r="N9" s="32">
        <v>1540.6798</v>
      </c>
      <c r="O9" s="32">
        <v>9180.76</v>
      </c>
      <c r="P9" s="32">
        <v>20180.45</v>
      </c>
      <c r="Q9" s="33">
        <v>124.85450467869</v>
      </c>
      <c r="R9" s="33">
        <v>586.422152904258</v>
      </c>
      <c r="S9" s="33">
        <v>2486.89500572694</v>
      </c>
      <c r="T9" s="33">
        <v>4715.61931532086</v>
      </c>
      <c r="U9" s="27">
        <v>2984.45403321774</v>
      </c>
      <c r="V9" s="27">
        <v>6189.88281189196</v>
      </c>
      <c r="W9" s="27">
        <v>15488.4436620162</v>
      </c>
      <c r="X9" s="27">
        <v>18091.590569281</v>
      </c>
    </row>
    <row r="10" spans="1:24">
      <c r="A10" s="1"/>
      <c r="B10" s="15" t="s">
        <v>28</v>
      </c>
      <c r="C10" s="28" t="s">
        <v>29</v>
      </c>
      <c r="D10" s="28" t="s">
        <v>30</v>
      </c>
      <c r="E10" s="29">
        <v>454.5465</v>
      </c>
      <c r="F10" s="30">
        <v>506.1576</v>
      </c>
      <c r="G10" s="30">
        <v>471.5553</v>
      </c>
      <c r="H10" s="30">
        <v>498.6192</v>
      </c>
      <c r="I10" s="29">
        <v>1609.8</v>
      </c>
      <c r="J10" s="30">
        <v>1697.99</v>
      </c>
      <c r="K10" s="30">
        <v>2009.4</v>
      </c>
      <c r="L10" s="31">
        <v>2110.74</v>
      </c>
      <c r="M10" s="32">
        <v>39.7306</v>
      </c>
      <c r="N10" s="32">
        <v>200.6512</v>
      </c>
      <c r="O10" s="32">
        <v>1064.09</v>
      </c>
      <c r="P10" s="32">
        <v>3270.37</v>
      </c>
      <c r="Q10" s="33">
        <v>24.5401423943166</v>
      </c>
      <c r="R10" s="33">
        <v>76.3729807367001</v>
      </c>
      <c r="S10" s="33">
        <v>288.241943656514</v>
      </c>
      <c r="T10" s="33">
        <v>764.196038257119</v>
      </c>
      <c r="U10" s="27">
        <v>637.714632417258</v>
      </c>
      <c r="V10" s="27">
        <v>733.983895626347</v>
      </c>
      <c r="W10" s="27">
        <v>2047.77393982781</v>
      </c>
      <c r="X10" s="27">
        <v>2787.41072201637</v>
      </c>
    </row>
    <row r="11" spans="1:24">
      <c r="A11" s="1"/>
      <c r="B11" s="15" t="s">
        <v>31</v>
      </c>
      <c r="C11" s="28" t="s">
        <v>32</v>
      </c>
      <c r="D11" s="28" t="s">
        <v>33</v>
      </c>
      <c r="E11" s="29">
        <v>484.8351</v>
      </c>
      <c r="F11" s="30">
        <v>478.5759</v>
      </c>
      <c r="G11" s="30">
        <v>461.8558</v>
      </c>
      <c r="H11" s="30">
        <v>451.2762</v>
      </c>
      <c r="I11" s="29">
        <v>463.24</v>
      </c>
      <c r="J11" s="30">
        <v>694.69</v>
      </c>
      <c r="K11" s="30">
        <v>993.8</v>
      </c>
      <c r="L11" s="31">
        <v>1146.29</v>
      </c>
      <c r="M11" s="32">
        <v>74.21</v>
      </c>
      <c r="N11" s="32">
        <v>399.08</v>
      </c>
      <c r="O11" s="32">
        <v>2072.5</v>
      </c>
      <c r="P11" s="32">
        <v>5297.77</v>
      </c>
      <c r="Q11" s="33">
        <v>45.8368100930325</v>
      </c>
      <c r="R11" s="33">
        <v>151.900059169356</v>
      </c>
      <c r="S11" s="33">
        <v>561.401223795097</v>
      </c>
      <c r="T11" s="33">
        <v>1237.94397746965</v>
      </c>
      <c r="U11" s="27">
        <v>273.308149473084</v>
      </c>
      <c r="V11" s="27">
        <v>334.583942901212</v>
      </c>
      <c r="W11" s="27">
        <v>1561.34909460822</v>
      </c>
      <c r="X11" s="27">
        <v>2492.34982801001</v>
      </c>
    </row>
    <row r="12" spans="1:24">
      <c r="A12" s="1"/>
      <c r="B12" s="15" t="s">
        <v>34</v>
      </c>
      <c r="C12" s="28" t="s">
        <v>35</v>
      </c>
      <c r="D12" s="28" t="s">
        <v>36</v>
      </c>
      <c r="E12" s="29">
        <v>429.16</v>
      </c>
      <c r="F12" s="30">
        <v>508.6586</v>
      </c>
      <c r="G12" s="30">
        <v>637.2624</v>
      </c>
      <c r="H12" s="30">
        <v>746.2135</v>
      </c>
      <c r="I12" s="29">
        <v>413.13</v>
      </c>
      <c r="J12" s="30">
        <v>717.52</v>
      </c>
      <c r="K12" s="30">
        <v>1216.75</v>
      </c>
      <c r="L12" s="31">
        <v>1314.62</v>
      </c>
      <c r="M12" s="32">
        <v>160.4402</v>
      </c>
      <c r="N12" s="32">
        <v>1176.5434</v>
      </c>
      <c r="O12" s="32">
        <v>5779.21</v>
      </c>
      <c r="P12" s="32">
        <v>12340.48</v>
      </c>
      <c r="Q12" s="33">
        <v>99.0980592735232</v>
      </c>
      <c r="R12" s="33">
        <v>447.822521988862</v>
      </c>
      <c r="S12" s="33">
        <v>1565.47916360379</v>
      </c>
      <c r="T12" s="33">
        <v>2883.63271623432</v>
      </c>
      <c r="U12" s="27">
        <v>1049.60909254506</v>
      </c>
      <c r="V12" s="27">
        <v>2320.11966973825</v>
      </c>
      <c r="W12" s="27">
        <v>5764.08978743499</v>
      </c>
      <c r="X12" s="27">
        <v>6797.82045308801</v>
      </c>
    </row>
    <row r="13" spans="1:24">
      <c r="A13" s="1"/>
      <c r="B13" s="15" t="s">
        <v>37</v>
      </c>
      <c r="C13" s="28" t="s">
        <v>38</v>
      </c>
      <c r="D13" s="28" t="s">
        <v>39</v>
      </c>
      <c r="E13" s="29">
        <v>816.2</v>
      </c>
      <c r="F13" s="30">
        <v>891.3965</v>
      </c>
      <c r="G13" s="30">
        <v>858.05</v>
      </c>
      <c r="H13" s="30">
        <v>908.379</v>
      </c>
      <c r="I13" s="29">
        <v>1911.11</v>
      </c>
      <c r="J13" s="30">
        <v>2110.28</v>
      </c>
      <c r="K13" s="30">
        <v>2518.4</v>
      </c>
      <c r="L13" s="31">
        <v>2700.27</v>
      </c>
      <c r="M13" s="32">
        <v>112.84</v>
      </c>
      <c r="N13" s="32">
        <v>616.3</v>
      </c>
      <c r="O13" s="32">
        <v>2951.47</v>
      </c>
      <c r="P13" s="32">
        <v>7284.77</v>
      </c>
      <c r="Q13" s="33">
        <v>69.697152013176</v>
      </c>
      <c r="R13" s="33">
        <v>234.57954912818</v>
      </c>
      <c r="S13" s="33">
        <v>799.497645353204</v>
      </c>
      <c r="T13" s="33">
        <v>1702.25154145076</v>
      </c>
      <c r="U13" s="27">
        <v>3683.92795020644</v>
      </c>
      <c r="V13" s="27">
        <v>4873.67323881438</v>
      </c>
      <c r="W13" s="27">
        <v>13885.6399265729</v>
      </c>
      <c r="X13" s="27">
        <v>16100.7376567701</v>
      </c>
    </row>
    <row r="14" spans="1:24">
      <c r="A14" s="1"/>
      <c r="B14" s="15" t="s">
        <v>40</v>
      </c>
      <c r="C14" s="28" t="s">
        <v>41</v>
      </c>
      <c r="D14" s="28" t="s">
        <v>42</v>
      </c>
      <c r="E14" s="29">
        <v>774.22</v>
      </c>
      <c r="F14" s="30">
        <v>794.6544</v>
      </c>
      <c r="G14" s="30">
        <v>726.024</v>
      </c>
      <c r="H14" s="30">
        <v>670.9629</v>
      </c>
      <c r="I14" s="29">
        <v>1633.83</v>
      </c>
      <c r="J14" s="30">
        <v>1745.6</v>
      </c>
      <c r="K14" s="30">
        <v>1997.55</v>
      </c>
      <c r="L14" s="31">
        <v>1835.51</v>
      </c>
      <c r="M14" s="32">
        <v>104.41</v>
      </c>
      <c r="N14" s="32">
        <v>529.48</v>
      </c>
      <c r="O14" s="32">
        <v>2315.71</v>
      </c>
      <c r="P14" s="32">
        <v>5918.38</v>
      </c>
      <c r="Q14" s="33">
        <v>64.4902485084696</v>
      </c>
      <c r="R14" s="33">
        <v>201.533635684551</v>
      </c>
      <c r="S14" s="33">
        <v>627.282233029937</v>
      </c>
      <c r="T14" s="33">
        <v>1382.96356341948</v>
      </c>
      <c r="U14" s="27">
        <v>766.021844249264</v>
      </c>
      <c r="V14" s="27">
        <v>1277.87811503442</v>
      </c>
      <c r="W14" s="27">
        <v>2499.94888733295</v>
      </c>
      <c r="X14" s="27">
        <v>4402.54472856772</v>
      </c>
    </row>
    <row r="15" spans="1:24">
      <c r="A15" s="1"/>
      <c r="B15" s="15" t="s">
        <v>43</v>
      </c>
      <c r="C15" s="28" t="s">
        <v>44</v>
      </c>
      <c r="D15" s="28" t="s">
        <v>45</v>
      </c>
      <c r="E15" s="29">
        <v>430.64</v>
      </c>
      <c r="F15" s="30">
        <v>458.8554</v>
      </c>
      <c r="G15" s="30">
        <v>445.976</v>
      </c>
      <c r="H15" s="30">
        <v>455.9797</v>
      </c>
      <c r="I15" s="29">
        <v>614</v>
      </c>
      <c r="J15" s="30">
        <v>737.88</v>
      </c>
      <c r="K15" s="30">
        <v>1049.77</v>
      </c>
      <c r="L15" s="31">
        <v>1156.05</v>
      </c>
      <c r="M15" s="32">
        <v>89.05</v>
      </c>
      <c r="N15" s="32">
        <v>472.12</v>
      </c>
      <c r="O15" s="32">
        <v>2257.02</v>
      </c>
      <c r="P15" s="32">
        <v>6013.33</v>
      </c>
      <c r="Q15" s="33">
        <v>55.0029367845917</v>
      </c>
      <c r="R15" s="33">
        <v>179.700952027253</v>
      </c>
      <c r="S15" s="33">
        <v>611.384217191802</v>
      </c>
      <c r="T15" s="33">
        <v>1405.15078193987</v>
      </c>
      <c r="U15" s="27">
        <v>627.740331360995</v>
      </c>
      <c r="V15" s="27">
        <v>635.830853233356</v>
      </c>
      <c r="W15" s="27">
        <v>1647.72959338342</v>
      </c>
      <c r="X15" s="27">
        <v>1773.46298026654</v>
      </c>
    </row>
    <row r="16" spans="1:24">
      <c r="A16" s="34"/>
      <c r="B16" s="15" t="s">
        <v>46</v>
      </c>
      <c r="C16" s="35" t="s">
        <v>47</v>
      </c>
      <c r="D16" s="35" t="s">
        <v>48</v>
      </c>
      <c r="E16" s="29">
        <v>260.42</v>
      </c>
      <c r="F16" s="36">
        <v>284.4856</v>
      </c>
      <c r="G16" s="36">
        <v>311.3384</v>
      </c>
      <c r="H16" s="36">
        <v>321.0418</v>
      </c>
      <c r="I16" s="29">
        <v>332.31</v>
      </c>
      <c r="J16" s="36">
        <v>528.03</v>
      </c>
      <c r="K16" s="36">
        <v>731.38</v>
      </c>
      <c r="L16" s="31">
        <v>836</v>
      </c>
      <c r="M16" s="37">
        <v>65.32</v>
      </c>
      <c r="N16" s="37">
        <v>423.25</v>
      </c>
      <c r="O16" s="37">
        <v>2019.22</v>
      </c>
      <c r="P16" s="37">
        <v>4185.09</v>
      </c>
      <c r="Q16" s="36">
        <v>40.3457813674287</v>
      </c>
      <c r="R16" s="36">
        <v>161.099779601658</v>
      </c>
      <c r="S16" s="36">
        <v>546.968675083974</v>
      </c>
      <c r="T16" s="38">
        <v>977.941088546399</v>
      </c>
      <c r="U16" s="23">
        <v>1907.3587784905</v>
      </c>
      <c r="V16" s="23">
        <v>3091.47756943407</v>
      </c>
      <c r="W16" s="23">
        <v>6457.1176712737</v>
      </c>
      <c r="X16" s="23">
        <v>8593.67987811011</v>
      </c>
    </row>
    <row r="17" spans="1:24">
      <c r="A17" s="1" t="s">
        <v>49</v>
      </c>
      <c r="B17" s="15" t="s">
        <v>50</v>
      </c>
      <c r="C17" s="16" t="s">
        <v>51</v>
      </c>
      <c r="D17" s="16" t="s">
        <v>52</v>
      </c>
      <c r="E17" s="19">
        <v>583.2183</v>
      </c>
      <c r="F17" s="18">
        <v>687.8722</v>
      </c>
      <c r="G17" s="18">
        <v>870.0373</v>
      </c>
      <c r="H17" s="18">
        <v>1193.601</v>
      </c>
      <c r="I17" s="19">
        <v>462.66</v>
      </c>
      <c r="J17" s="18">
        <v>547.13</v>
      </c>
      <c r="K17" s="18">
        <v>915.88</v>
      </c>
      <c r="L17" s="20">
        <v>1259.93</v>
      </c>
      <c r="M17" s="21">
        <v>189.62</v>
      </c>
      <c r="N17" s="21">
        <v>1395.67</v>
      </c>
      <c r="O17" s="21">
        <v>6049.56</v>
      </c>
      <c r="P17" s="21">
        <v>16206.82</v>
      </c>
      <c r="Q17" s="25">
        <v>98.1758959537521</v>
      </c>
      <c r="R17" s="25">
        <v>429.636742390836</v>
      </c>
      <c r="S17" s="25">
        <v>1341.23800694833</v>
      </c>
      <c r="T17" s="26">
        <v>3099.88772460032</v>
      </c>
      <c r="U17" s="27">
        <v>1384.59849785312</v>
      </c>
      <c r="V17" s="27">
        <v>2370.43985166084</v>
      </c>
      <c r="W17" s="27">
        <v>5399.71132892529</v>
      </c>
      <c r="X17" s="27">
        <v>6256.65512770122</v>
      </c>
    </row>
    <row r="18" spans="1:24">
      <c r="A18" s="1"/>
      <c r="B18" s="15" t="s">
        <v>53</v>
      </c>
      <c r="C18" s="28" t="s">
        <v>54</v>
      </c>
      <c r="D18" s="28" t="s">
        <v>55</v>
      </c>
      <c r="E18" s="29">
        <v>244.9946</v>
      </c>
      <c r="F18" s="30">
        <v>262.5595</v>
      </c>
      <c r="G18" s="30">
        <v>289.3542</v>
      </c>
      <c r="H18" s="30">
        <v>336.7579</v>
      </c>
      <c r="I18" s="29">
        <v>226.56</v>
      </c>
      <c r="J18" s="30">
        <v>253.54</v>
      </c>
      <c r="K18" s="30">
        <v>415.82</v>
      </c>
      <c r="L18" s="31">
        <v>586.33</v>
      </c>
      <c r="M18" s="32">
        <v>54.991</v>
      </c>
      <c r="N18" s="32">
        <v>325.23</v>
      </c>
      <c r="O18" s="32">
        <v>1385.48</v>
      </c>
      <c r="P18" s="32">
        <v>3203.9</v>
      </c>
      <c r="Q18" s="33">
        <v>28.4716311274801</v>
      </c>
      <c r="R18" s="33">
        <v>100.117332698827</v>
      </c>
      <c r="S18" s="33">
        <v>307.172494175903</v>
      </c>
      <c r="T18" s="33">
        <v>612.81178422707</v>
      </c>
      <c r="U18" s="27">
        <v>167.444253386042</v>
      </c>
      <c r="V18" s="27">
        <v>393.575027279078</v>
      </c>
      <c r="W18" s="27">
        <v>1356.28455470559</v>
      </c>
      <c r="X18" s="27">
        <v>2070.73128456969</v>
      </c>
    </row>
    <row r="19" spans="1:24">
      <c r="A19" s="1"/>
      <c r="B19" s="15" t="s">
        <v>56</v>
      </c>
      <c r="C19" s="28" t="s">
        <v>57</v>
      </c>
      <c r="D19" s="28" t="s">
        <v>58</v>
      </c>
      <c r="E19" s="29">
        <v>316.3087</v>
      </c>
      <c r="F19" s="30">
        <v>358.2996</v>
      </c>
      <c r="G19" s="30">
        <v>450.1657</v>
      </c>
      <c r="H19" s="30">
        <v>540.0868</v>
      </c>
      <c r="I19" s="29">
        <v>616.64</v>
      </c>
      <c r="J19" s="30">
        <v>682.1</v>
      </c>
      <c r="K19" s="30">
        <v>1052.36</v>
      </c>
      <c r="L19" s="31">
        <v>1317.72</v>
      </c>
      <c r="M19" s="32">
        <v>81.33</v>
      </c>
      <c r="N19" s="32">
        <v>524.03</v>
      </c>
      <c r="O19" s="32">
        <v>2357.22</v>
      </c>
      <c r="P19" s="32">
        <v>5563.58</v>
      </c>
      <c r="Q19" s="33">
        <v>42.1086679565376</v>
      </c>
      <c r="R19" s="33">
        <v>161.315025840686</v>
      </c>
      <c r="S19" s="33">
        <v>522.615372810377</v>
      </c>
      <c r="T19" s="33">
        <v>1064.14912653018</v>
      </c>
      <c r="U19" s="27">
        <v>306.942041895607</v>
      </c>
      <c r="V19" s="27">
        <v>780.535717146457</v>
      </c>
      <c r="W19" s="27">
        <v>2520.19597740509</v>
      </c>
      <c r="X19" s="27">
        <v>3519.12151614721</v>
      </c>
    </row>
    <row r="20" spans="1:24">
      <c r="A20" s="1"/>
      <c r="B20" s="15" t="s">
        <v>59</v>
      </c>
      <c r="C20" s="28" t="s">
        <v>60</v>
      </c>
      <c r="D20" s="28" t="s">
        <v>61</v>
      </c>
      <c r="E20" s="29">
        <v>412.0009</v>
      </c>
      <c r="F20" s="30">
        <v>457.1881</v>
      </c>
      <c r="G20" s="30">
        <v>536.1572</v>
      </c>
      <c r="H20" s="30">
        <v>705.0683</v>
      </c>
      <c r="I20" s="29">
        <v>239.48</v>
      </c>
      <c r="J20" s="30">
        <v>275.98</v>
      </c>
      <c r="K20" s="30">
        <v>692.56</v>
      </c>
      <c r="L20" s="31">
        <v>929.97</v>
      </c>
      <c r="M20" s="32">
        <v>74.6435</v>
      </c>
      <c r="N20" s="32">
        <v>509.3495</v>
      </c>
      <c r="O20" s="32">
        <v>2101.1262</v>
      </c>
      <c r="P20" s="32">
        <v>4705.8331</v>
      </c>
      <c r="Q20" s="33">
        <v>38.6467276111375</v>
      </c>
      <c r="R20" s="33">
        <v>156.79584709738</v>
      </c>
      <c r="S20" s="33">
        <v>465.83723722633</v>
      </c>
      <c r="T20" s="33">
        <v>900.087386711759</v>
      </c>
      <c r="U20" s="27">
        <v>845.584418726054</v>
      </c>
      <c r="V20" s="27">
        <v>1230.37830737601</v>
      </c>
      <c r="W20" s="27">
        <v>4413.8652112847</v>
      </c>
      <c r="X20" s="27">
        <v>4702.380568043</v>
      </c>
    </row>
    <row r="21" spans="1:24">
      <c r="A21" s="39"/>
      <c r="B21" s="40" t="s">
        <v>62</v>
      </c>
      <c r="C21" s="41" t="s">
        <v>63</v>
      </c>
      <c r="D21" s="41" t="s">
        <v>64</v>
      </c>
      <c r="E21" s="42">
        <v>234.9139</v>
      </c>
      <c r="F21" s="32">
        <v>216.2113</v>
      </c>
      <c r="G21" s="32">
        <v>211.6957</v>
      </c>
      <c r="H21" s="32">
        <v>250.7396</v>
      </c>
      <c r="I21" s="42">
        <v>72.04</v>
      </c>
      <c r="J21" s="32">
        <v>73.25</v>
      </c>
      <c r="K21" s="32">
        <v>211.25</v>
      </c>
      <c r="L21" s="43">
        <v>377.91</v>
      </c>
      <c r="M21" s="32">
        <v>26.4543</v>
      </c>
      <c r="N21" s="32">
        <v>136.7613</v>
      </c>
      <c r="O21" s="32">
        <v>641.9304</v>
      </c>
      <c r="P21" s="32">
        <v>1527.751</v>
      </c>
      <c r="Q21" s="44">
        <v>13.6967334897656</v>
      </c>
      <c r="R21" s="44">
        <v>42.0999802368295</v>
      </c>
      <c r="S21" s="44">
        <v>142.321334162409</v>
      </c>
      <c r="T21" s="44">
        <v>292.213806974216</v>
      </c>
      <c r="U21" s="45">
        <v>137.389876215474</v>
      </c>
      <c r="V21" s="45">
        <v>214.718453432847</v>
      </c>
      <c r="W21" s="45">
        <v>566.563125221007</v>
      </c>
      <c r="X21" s="45">
        <v>726.019848748966</v>
      </c>
    </row>
    <row r="22" spans="1:24">
      <c r="A22" s="1"/>
      <c r="B22" s="15" t="s">
        <v>65</v>
      </c>
      <c r="C22" s="28" t="s">
        <v>66</v>
      </c>
      <c r="D22" s="28" t="s">
        <v>67</v>
      </c>
      <c r="E22" s="29">
        <v>509.0897</v>
      </c>
      <c r="F22" s="30">
        <v>596.3362</v>
      </c>
      <c r="G22" s="30">
        <v>760.5689</v>
      </c>
      <c r="H22" s="30">
        <v>940.4283</v>
      </c>
      <c r="I22" s="29">
        <v>430.17</v>
      </c>
      <c r="J22" s="30">
        <v>655.52</v>
      </c>
      <c r="K22" s="30">
        <v>1242.73</v>
      </c>
      <c r="L22" s="31">
        <v>1555.63</v>
      </c>
      <c r="M22" s="32">
        <v>141.4003</v>
      </c>
      <c r="N22" s="32">
        <v>1144.5653</v>
      </c>
      <c r="O22" s="32">
        <v>5264.69560272893</v>
      </c>
      <c r="P22" s="32">
        <v>12599.2174580916</v>
      </c>
      <c r="Q22" s="33">
        <v>73.210110434708</v>
      </c>
      <c r="R22" s="33">
        <v>352.337806892453</v>
      </c>
      <c r="S22" s="33">
        <v>1167.22701112044</v>
      </c>
      <c r="T22" s="33">
        <v>2409.85952444145</v>
      </c>
      <c r="U22" s="27">
        <v>1467.52421132367</v>
      </c>
      <c r="V22" s="27">
        <v>3996.92289047945</v>
      </c>
      <c r="W22" s="27">
        <v>10330.8953692854</v>
      </c>
      <c r="X22" s="27">
        <v>11365.2619828833</v>
      </c>
    </row>
    <row r="23" spans="1:24">
      <c r="A23" s="1"/>
      <c r="B23" s="15" t="s">
        <v>68</v>
      </c>
      <c r="C23" s="28" t="s">
        <v>69</v>
      </c>
      <c r="D23" s="28" t="s">
        <v>70</v>
      </c>
      <c r="E23" s="29">
        <v>226.0222</v>
      </c>
      <c r="F23" s="30">
        <v>212.8856</v>
      </c>
      <c r="G23" s="30">
        <v>212.2661</v>
      </c>
      <c r="H23" s="30">
        <v>227.6184</v>
      </c>
      <c r="I23" s="29">
        <v>93.13</v>
      </c>
      <c r="J23" s="30">
        <v>88.35</v>
      </c>
      <c r="K23" s="30">
        <v>233.21</v>
      </c>
      <c r="L23" s="31">
        <v>355.6</v>
      </c>
      <c r="M23" s="32">
        <v>36.8124</v>
      </c>
      <c r="N23" s="32">
        <v>155.2321</v>
      </c>
      <c r="O23" s="32">
        <v>752.1154</v>
      </c>
      <c r="P23" s="32">
        <v>1627.236</v>
      </c>
      <c r="Q23" s="33">
        <v>19.0596474644442</v>
      </c>
      <c r="R23" s="33">
        <v>47.7859477945993</v>
      </c>
      <c r="S23" s="33">
        <v>166.75026945615</v>
      </c>
      <c r="T23" s="33">
        <v>311.242359786049</v>
      </c>
      <c r="U23" s="27">
        <v>502.052279337317</v>
      </c>
      <c r="V23" s="27">
        <v>989.127433379605</v>
      </c>
      <c r="W23" s="27">
        <v>2345.99729693938</v>
      </c>
      <c r="X23" s="27">
        <v>2898.41801369906</v>
      </c>
    </row>
    <row r="24" spans="1:24">
      <c r="A24" s="1"/>
      <c r="B24" s="15" t="s">
        <v>71</v>
      </c>
      <c r="C24" s="28" t="s">
        <v>72</v>
      </c>
      <c r="D24" s="28" t="s">
        <v>73</v>
      </c>
      <c r="E24" s="29">
        <v>399.7106</v>
      </c>
      <c r="F24" s="30">
        <v>430.4241</v>
      </c>
      <c r="G24" s="30">
        <v>491.2239</v>
      </c>
      <c r="H24" s="30">
        <v>527.0977</v>
      </c>
      <c r="I24" s="29">
        <v>260.38</v>
      </c>
      <c r="J24" s="30">
        <v>335.06</v>
      </c>
      <c r="K24" s="30">
        <v>648.83</v>
      </c>
      <c r="L24" s="31">
        <v>833.47</v>
      </c>
      <c r="M24" s="32">
        <v>82.3755</v>
      </c>
      <c r="N24" s="32">
        <v>716.8454</v>
      </c>
      <c r="O24" s="32">
        <v>2811.7467</v>
      </c>
      <c r="P24" s="32">
        <v>5963.7551</v>
      </c>
      <c r="Q24" s="33">
        <v>42.6499763587085</v>
      </c>
      <c r="R24" s="33">
        <v>220.67044677743</v>
      </c>
      <c r="S24" s="33">
        <v>623.387740588001</v>
      </c>
      <c r="T24" s="33">
        <v>1140.69084663201</v>
      </c>
      <c r="U24" s="27">
        <v>342.625343658021</v>
      </c>
      <c r="V24" s="27">
        <v>599.266684256473</v>
      </c>
      <c r="W24" s="27">
        <v>1424.67895619477</v>
      </c>
      <c r="X24" s="27">
        <v>2041.20499822311</v>
      </c>
    </row>
    <row r="25" spans="1:24">
      <c r="A25" s="39"/>
      <c r="B25" s="40" t="s">
        <v>74</v>
      </c>
      <c r="C25" s="41" t="s">
        <v>75</v>
      </c>
      <c r="D25" s="41" t="s">
        <v>76</v>
      </c>
      <c r="E25" s="42">
        <v>487.634</v>
      </c>
      <c r="F25" s="32">
        <v>515.3715</v>
      </c>
      <c r="G25" s="32">
        <v>596.8838</v>
      </c>
      <c r="H25" s="32">
        <v>662.2888</v>
      </c>
      <c r="I25" s="42">
        <v>157.88</v>
      </c>
      <c r="J25" s="32">
        <v>221.02</v>
      </c>
      <c r="K25" s="32">
        <v>422.24</v>
      </c>
      <c r="L25" s="43">
        <v>780.47</v>
      </c>
      <c r="M25" s="32">
        <v>78.91</v>
      </c>
      <c r="N25" s="32">
        <v>613.31</v>
      </c>
      <c r="O25" s="32">
        <v>2451.68</v>
      </c>
      <c r="P25" s="32">
        <v>5238.39</v>
      </c>
      <c r="Q25" s="44">
        <v>40.8557111576341</v>
      </c>
      <c r="R25" s="44">
        <v>188.798577368378</v>
      </c>
      <c r="S25" s="44">
        <v>543.557944193476</v>
      </c>
      <c r="T25" s="44">
        <v>1001.94984936398</v>
      </c>
      <c r="U25" s="45">
        <v>904.314577236208</v>
      </c>
      <c r="V25" s="45">
        <v>1425.12898228724</v>
      </c>
      <c r="W25" s="45">
        <v>1700.67738378163</v>
      </c>
      <c r="X25" s="45">
        <v>2369.39254013478</v>
      </c>
    </row>
    <row r="26" spans="1:24">
      <c r="A26" s="1"/>
      <c r="B26" s="15" t="s">
        <v>77</v>
      </c>
      <c r="C26" s="28" t="s">
        <v>78</v>
      </c>
      <c r="D26" s="28" t="s">
        <v>79</v>
      </c>
      <c r="E26" s="29">
        <v>633.0875</v>
      </c>
      <c r="F26" s="30">
        <v>755.764</v>
      </c>
      <c r="G26" s="30">
        <v>912.2102</v>
      </c>
      <c r="H26" s="30">
        <v>957.2903</v>
      </c>
      <c r="I26" s="29">
        <v>263.49</v>
      </c>
      <c r="J26" s="30">
        <v>304.92</v>
      </c>
      <c r="K26" s="30">
        <v>594.51</v>
      </c>
      <c r="L26" s="31">
        <v>859.36</v>
      </c>
      <c r="M26" s="32">
        <v>77.8977</v>
      </c>
      <c r="N26" s="32">
        <v>822.0172</v>
      </c>
      <c r="O26" s="32">
        <v>2943.714</v>
      </c>
      <c r="P26" s="32">
        <v>6850.4791</v>
      </c>
      <c r="Q26" s="33">
        <v>40.3315920801424</v>
      </c>
      <c r="R26" s="33">
        <v>253.046058163632</v>
      </c>
      <c r="S26" s="33">
        <v>652.645993822013</v>
      </c>
      <c r="T26" s="33">
        <v>1310.29505292963</v>
      </c>
      <c r="U26" s="27">
        <v>556.252108309659</v>
      </c>
      <c r="V26" s="27">
        <v>729.569894460525</v>
      </c>
      <c r="W26" s="27">
        <v>3778.75459503603</v>
      </c>
      <c r="X26" s="27">
        <v>4869.54092324014</v>
      </c>
    </row>
    <row r="27" spans="1:24">
      <c r="A27" s="34"/>
      <c r="B27" s="15" t="s">
        <v>80</v>
      </c>
      <c r="C27" s="35" t="s">
        <v>81</v>
      </c>
      <c r="D27" s="35" t="s">
        <v>82</v>
      </c>
      <c r="E27" s="29">
        <v>97.6126</v>
      </c>
      <c r="F27" s="36">
        <v>100.153</v>
      </c>
      <c r="G27" s="36">
        <v>112.1261</v>
      </c>
      <c r="H27" s="36">
        <v>115.7817</v>
      </c>
      <c r="I27" s="29">
        <v>80.77</v>
      </c>
      <c r="J27" s="36">
        <v>80.9</v>
      </c>
      <c r="K27" s="36">
        <v>127.34</v>
      </c>
      <c r="L27" s="31">
        <v>289.01</v>
      </c>
      <c r="M27" s="37">
        <v>24.5697</v>
      </c>
      <c r="N27" s="37">
        <v>121.5702</v>
      </c>
      <c r="O27" s="37">
        <v>609.4431</v>
      </c>
      <c r="P27" s="37">
        <v>1510.4919</v>
      </c>
      <c r="Q27" s="36">
        <v>12.7209804388509</v>
      </c>
      <c r="R27" s="36">
        <v>37.423620698161</v>
      </c>
      <c r="S27" s="36">
        <v>135.118628262619</v>
      </c>
      <c r="T27" s="38">
        <v>288.912649052573</v>
      </c>
      <c r="U27" s="23">
        <v>35.4889888211889</v>
      </c>
      <c r="V27" s="23">
        <v>134.116938196794</v>
      </c>
      <c r="W27" s="23">
        <v>354.632047356794</v>
      </c>
      <c r="X27" s="23">
        <v>471.125341112049</v>
      </c>
    </row>
    <row r="28" spans="1:24">
      <c r="A28" s="1" t="s">
        <v>83</v>
      </c>
      <c r="B28" s="15" t="s">
        <v>84</v>
      </c>
      <c r="C28" s="16" t="s">
        <v>85</v>
      </c>
      <c r="D28" s="16" t="s">
        <v>86</v>
      </c>
      <c r="E28" s="19">
        <v>468.1336</v>
      </c>
      <c r="F28" s="18">
        <v>442.2049</v>
      </c>
      <c r="G28" s="18">
        <v>447.2667</v>
      </c>
      <c r="H28" s="18">
        <v>416.5284</v>
      </c>
      <c r="I28" s="19">
        <v>451.45</v>
      </c>
      <c r="J28" s="18">
        <v>488.15</v>
      </c>
      <c r="K28" s="18">
        <v>649.14</v>
      </c>
      <c r="L28" s="20">
        <v>718.15</v>
      </c>
      <c r="M28" s="18">
        <v>52.8624</v>
      </c>
      <c r="N28" s="18">
        <v>254.8429</v>
      </c>
      <c r="O28" s="18">
        <v>937.655</v>
      </c>
      <c r="P28" s="18">
        <v>2381.4536</v>
      </c>
      <c r="Q28" s="25">
        <v>26.5578541393781</v>
      </c>
      <c r="R28" s="25">
        <v>82.2658449232727</v>
      </c>
      <c r="S28" s="25">
        <v>218.697844939946</v>
      </c>
      <c r="T28" s="26">
        <v>453.281082131691</v>
      </c>
      <c r="U28" s="27">
        <v>360.97031679555</v>
      </c>
      <c r="V28" s="27">
        <v>397.34068307081</v>
      </c>
      <c r="W28" s="27">
        <v>1007.32833702023</v>
      </c>
      <c r="X28" s="27">
        <v>1514.26610710935</v>
      </c>
    </row>
    <row r="29" spans="1:24">
      <c r="A29" s="1"/>
      <c r="B29" s="15" t="s">
        <v>87</v>
      </c>
      <c r="C29" s="28" t="s">
        <v>88</v>
      </c>
      <c r="D29" s="28" t="s">
        <v>89</v>
      </c>
      <c r="E29" s="29">
        <v>296.7623</v>
      </c>
      <c r="F29" s="30">
        <v>328.8329</v>
      </c>
      <c r="G29" s="30">
        <v>316.4467</v>
      </c>
      <c r="H29" s="30">
        <v>329.6408</v>
      </c>
      <c r="I29" s="29">
        <v>687.5</v>
      </c>
      <c r="J29" s="30">
        <v>729.08</v>
      </c>
      <c r="K29" s="30">
        <v>782.31</v>
      </c>
      <c r="L29" s="31">
        <v>845.23</v>
      </c>
      <c r="M29" s="30">
        <v>42.5739</v>
      </c>
      <c r="N29" s="30">
        <v>179.4194</v>
      </c>
      <c r="O29" s="30">
        <v>672.7364</v>
      </c>
      <c r="P29" s="30">
        <v>2018.3469</v>
      </c>
      <c r="Q29" s="33">
        <v>21.3889537051755</v>
      </c>
      <c r="R29" s="33">
        <v>57.9183824098166</v>
      </c>
      <c r="S29" s="33">
        <v>156.908458753654</v>
      </c>
      <c r="T29" s="33">
        <v>384.168084126915</v>
      </c>
      <c r="U29" s="27">
        <v>260.524240508897</v>
      </c>
      <c r="V29" s="27">
        <v>213.879138413476</v>
      </c>
      <c r="W29" s="27">
        <v>429.718353436145</v>
      </c>
      <c r="X29" s="27">
        <v>456.736882207203</v>
      </c>
    </row>
    <row r="30" spans="1:24">
      <c r="A30" s="1"/>
      <c r="B30" s="15" t="s">
        <v>90</v>
      </c>
      <c r="C30" s="28" t="s">
        <v>91</v>
      </c>
      <c r="D30" s="28" t="s">
        <v>92</v>
      </c>
      <c r="E30" s="29">
        <v>462.4816</v>
      </c>
      <c r="F30" s="30">
        <v>507.8908</v>
      </c>
      <c r="G30" s="30">
        <v>485.0657</v>
      </c>
      <c r="H30" s="30">
        <v>499.6844</v>
      </c>
      <c r="I30" s="29">
        <v>1343.73</v>
      </c>
      <c r="J30" s="30">
        <v>1422.87</v>
      </c>
      <c r="K30" s="30">
        <v>1499.02</v>
      </c>
      <c r="L30" s="31">
        <v>1624.11</v>
      </c>
      <c r="M30" s="30">
        <v>37.9</v>
      </c>
      <c r="N30" s="30">
        <v>174.56</v>
      </c>
      <c r="O30" s="30">
        <v>582.63</v>
      </c>
      <c r="P30" s="30">
        <v>1805.96</v>
      </c>
      <c r="Q30" s="33">
        <v>19.040805409562</v>
      </c>
      <c r="R30" s="33">
        <v>56.3497193361341</v>
      </c>
      <c r="S30" s="33">
        <v>135.892119593412</v>
      </c>
      <c r="T30" s="33">
        <v>343.742789314286</v>
      </c>
      <c r="U30" s="27">
        <v>331.531189231308</v>
      </c>
      <c r="V30" s="27">
        <v>285.068128291637</v>
      </c>
      <c r="W30" s="27">
        <v>685.000077569093</v>
      </c>
      <c r="X30" s="27">
        <v>798.033761676812</v>
      </c>
    </row>
    <row r="31" spans="1:24">
      <c r="A31" s="1"/>
      <c r="B31" s="15" t="s">
        <v>93</v>
      </c>
      <c r="C31" s="28" t="s">
        <v>94</v>
      </c>
      <c r="D31" s="28" t="s">
        <v>95</v>
      </c>
      <c r="E31" s="29">
        <v>146.4428</v>
      </c>
      <c r="F31" s="30">
        <v>138.9469</v>
      </c>
      <c r="G31" s="30">
        <v>140.2518</v>
      </c>
      <c r="H31" s="30">
        <v>134.2764</v>
      </c>
      <c r="I31" s="29">
        <v>128.78</v>
      </c>
      <c r="J31" s="30">
        <v>139.64</v>
      </c>
      <c r="K31" s="30">
        <v>225.87</v>
      </c>
      <c r="L31" s="31">
        <v>275.13</v>
      </c>
      <c r="M31" s="30">
        <v>14.58</v>
      </c>
      <c r="N31" s="30">
        <v>64.2</v>
      </c>
      <c r="O31" s="30">
        <v>312.57</v>
      </c>
      <c r="P31" s="30">
        <v>853.1</v>
      </c>
      <c r="Q31" s="33">
        <v>7.32493252958877</v>
      </c>
      <c r="R31" s="33">
        <v>20.724404109646</v>
      </c>
      <c r="S31" s="33">
        <v>72.9035576975316</v>
      </c>
      <c r="T31" s="33">
        <v>162.377335912212</v>
      </c>
      <c r="U31" s="27">
        <v>821.136935839546</v>
      </c>
      <c r="V31" s="27">
        <v>1217.59900699759</v>
      </c>
      <c r="W31" s="27">
        <v>3123.05408021522</v>
      </c>
      <c r="X31" s="27">
        <v>4550.53141668931</v>
      </c>
    </row>
    <row r="32" spans="1:24">
      <c r="A32" s="1"/>
      <c r="B32" s="15" t="s">
        <v>96</v>
      </c>
      <c r="C32" s="28" t="s">
        <v>97</v>
      </c>
      <c r="D32" s="28" t="s">
        <v>98</v>
      </c>
      <c r="E32" s="29">
        <v>380.2597</v>
      </c>
      <c r="F32" s="30">
        <v>400.1488</v>
      </c>
      <c r="G32" s="30">
        <v>393.7868</v>
      </c>
      <c r="H32" s="30">
        <v>398.7054</v>
      </c>
      <c r="I32" s="29">
        <v>889.57</v>
      </c>
      <c r="J32" s="30">
        <v>1082.19</v>
      </c>
      <c r="K32" s="30">
        <v>1209.53</v>
      </c>
      <c r="L32" s="31">
        <v>1389.23</v>
      </c>
      <c r="M32" s="30">
        <v>53.97</v>
      </c>
      <c r="N32" s="30">
        <v>232.91</v>
      </c>
      <c r="O32" s="30">
        <v>837.8</v>
      </c>
      <c r="P32" s="30">
        <v>2946.84</v>
      </c>
      <c r="Q32" s="33">
        <v>27.1143078615847</v>
      </c>
      <c r="R32" s="33">
        <v>75.185684753546</v>
      </c>
      <c r="S32" s="33">
        <v>195.407750708616</v>
      </c>
      <c r="T32" s="33">
        <v>560.895590856338</v>
      </c>
      <c r="U32" s="27">
        <v>498.308543977878</v>
      </c>
      <c r="V32" s="27">
        <v>516.816433843526</v>
      </c>
      <c r="W32" s="27">
        <v>1455.85253180751</v>
      </c>
      <c r="X32" s="27">
        <v>1902.422791932</v>
      </c>
    </row>
    <row r="33" spans="1:24">
      <c r="A33" s="1"/>
      <c r="B33" s="15" t="s">
        <v>99</v>
      </c>
      <c r="C33" s="28" t="s">
        <v>100</v>
      </c>
      <c r="D33" s="28" t="s">
        <v>101</v>
      </c>
      <c r="E33" s="29">
        <v>763.3292</v>
      </c>
      <c r="F33" s="30">
        <v>800.3963</v>
      </c>
      <c r="G33" s="30">
        <v>759.9913</v>
      </c>
      <c r="H33" s="30">
        <v>820.0264</v>
      </c>
      <c r="I33" s="29">
        <v>1654.35</v>
      </c>
      <c r="J33" s="30">
        <v>1745.69</v>
      </c>
      <c r="K33" s="30">
        <v>1855.67</v>
      </c>
      <c r="L33" s="31">
        <v>1977.96</v>
      </c>
      <c r="M33" s="30">
        <v>47.0005</v>
      </c>
      <c r="N33" s="30">
        <v>262.1354</v>
      </c>
      <c r="O33" s="30">
        <v>924.0928</v>
      </c>
      <c r="P33" s="30">
        <v>2724.4536</v>
      </c>
      <c r="Q33" s="33">
        <v>23.6128594895018</v>
      </c>
      <c r="R33" s="33">
        <v>84.6199370879082</v>
      </c>
      <c r="S33" s="33">
        <v>215.534609088119</v>
      </c>
      <c r="T33" s="33">
        <v>518.56701135205</v>
      </c>
      <c r="U33" s="27">
        <v>596.253604846028</v>
      </c>
      <c r="V33" s="27">
        <v>621.873245405488</v>
      </c>
      <c r="W33" s="27">
        <v>2030.71683511056</v>
      </c>
      <c r="X33" s="27">
        <v>2898.39042832627</v>
      </c>
    </row>
    <row r="34" spans="1:24">
      <c r="A34" s="1"/>
      <c r="B34" s="15" t="s">
        <v>102</v>
      </c>
      <c r="C34" s="28" t="s">
        <v>103</v>
      </c>
      <c r="D34" s="28" t="s">
        <v>104</v>
      </c>
      <c r="E34" s="29">
        <v>573.8927</v>
      </c>
      <c r="F34" s="30">
        <v>639.2122</v>
      </c>
      <c r="G34" s="30">
        <v>745.7027</v>
      </c>
      <c r="H34" s="30">
        <v>936.9881</v>
      </c>
      <c r="I34" s="29">
        <v>1158.15</v>
      </c>
      <c r="J34" s="30">
        <v>1364.9</v>
      </c>
      <c r="K34" s="30">
        <v>1749.7</v>
      </c>
      <c r="L34" s="31">
        <v>2025.12</v>
      </c>
      <c r="M34" s="30">
        <v>58.19</v>
      </c>
      <c r="N34" s="30">
        <v>487.51</v>
      </c>
      <c r="O34" s="30">
        <v>2976.08</v>
      </c>
      <c r="P34" s="30">
        <v>10005.56</v>
      </c>
      <c r="Q34" s="33">
        <v>29.2344186486125</v>
      </c>
      <c r="R34" s="33">
        <v>157.373119119837</v>
      </c>
      <c r="S34" s="33">
        <v>694.138336988418</v>
      </c>
      <c r="T34" s="33">
        <v>1904.4381398544</v>
      </c>
      <c r="U34" s="27">
        <v>1349.44998714925</v>
      </c>
      <c r="V34" s="27">
        <v>1635.72699372665</v>
      </c>
      <c r="W34" s="27">
        <v>5014.4653741493</v>
      </c>
      <c r="X34" s="27">
        <v>6253.10349692931</v>
      </c>
    </row>
    <row r="35" spans="1:24">
      <c r="A35" s="1"/>
      <c r="B35" s="15" t="s">
        <v>105</v>
      </c>
      <c r="C35" s="28" t="s">
        <v>106</v>
      </c>
      <c r="D35" s="28" t="s">
        <v>106</v>
      </c>
      <c r="E35" s="29">
        <v>161.5088</v>
      </c>
      <c r="F35" s="30">
        <v>187.8164</v>
      </c>
      <c r="G35" s="30">
        <v>211.4276</v>
      </c>
      <c r="H35" s="30">
        <v>197.0265</v>
      </c>
      <c r="I35" s="29">
        <v>374.09</v>
      </c>
      <c r="J35" s="30">
        <v>392.38</v>
      </c>
      <c r="K35" s="30">
        <v>454.72</v>
      </c>
      <c r="L35" s="31">
        <v>524.51</v>
      </c>
      <c r="M35" s="30">
        <v>27.2712</v>
      </c>
      <c r="N35" s="30">
        <v>149.699</v>
      </c>
      <c r="O35" s="30">
        <v>492.2679</v>
      </c>
      <c r="P35" s="30">
        <v>1119.0691</v>
      </c>
      <c r="Q35" s="33">
        <v>13.7009396434102</v>
      </c>
      <c r="R35" s="33">
        <v>48.3243391091885</v>
      </c>
      <c r="S35" s="33">
        <v>114.816141185311</v>
      </c>
      <c r="T35" s="33">
        <v>213.001358761782</v>
      </c>
      <c r="U35" s="27">
        <v>815.142448846972</v>
      </c>
      <c r="V35" s="27">
        <v>1066.84393121692</v>
      </c>
      <c r="W35" s="27">
        <v>1484.97137714295</v>
      </c>
      <c r="X35" s="27">
        <v>2978.72413712158</v>
      </c>
    </row>
    <row r="36" spans="1:24">
      <c r="A36" s="1"/>
      <c r="B36" s="15" t="s">
        <v>107</v>
      </c>
      <c r="C36" s="28" t="s">
        <v>108</v>
      </c>
      <c r="D36" s="28" t="s">
        <v>108</v>
      </c>
      <c r="E36" s="29">
        <v>298.3297</v>
      </c>
      <c r="F36" s="30">
        <v>315.3218</v>
      </c>
      <c r="G36" s="30">
        <v>334.2012</v>
      </c>
      <c r="H36" s="30">
        <v>303.3528</v>
      </c>
      <c r="I36" s="29">
        <v>643.03</v>
      </c>
      <c r="J36" s="30">
        <v>698.36</v>
      </c>
      <c r="K36" s="30">
        <v>773.24</v>
      </c>
      <c r="L36" s="31">
        <v>851.25</v>
      </c>
      <c r="M36" s="30">
        <v>30.6605</v>
      </c>
      <c r="N36" s="30">
        <v>132.8249</v>
      </c>
      <c r="O36" s="30">
        <v>707.0175</v>
      </c>
      <c r="P36" s="30">
        <v>1305.6919</v>
      </c>
      <c r="Q36" s="33">
        <v>15.403710138783</v>
      </c>
      <c r="R36" s="33">
        <v>42.8772103336966</v>
      </c>
      <c r="S36" s="33">
        <v>164.904153003854</v>
      </c>
      <c r="T36" s="33">
        <v>248.522766667628</v>
      </c>
      <c r="U36" s="27">
        <v>1851.97490317301</v>
      </c>
      <c r="V36" s="27">
        <v>2717.63906766091</v>
      </c>
      <c r="W36" s="27">
        <v>5934.87635070118</v>
      </c>
      <c r="X36" s="27">
        <v>8250.29960659177</v>
      </c>
    </row>
    <row r="37" spans="1:24">
      <c r="A37" s="39"/>
      <c r="B37" s="40" t="s">
        <v>109</v>
      </c>
      <c r="C37" s="41" t="s">
        <v>110</v>
      </c>
      <c r="D37" s="41" t="s">
        <v>111</v>
      </c>
      <c r="E37" s="42">
        <v>140.6707</v>
      </c>
      <c r="F37" s="32">
        <v>137.0377</v>
      </c>
      <c r="G37" s="32">
        <v>135.898</v>
      </c>
      <c r="H37" s="32">
        <v>133.0565</v>
      </c>
      <c r="I37" s="42">
        <v>65.4</v>
      </c>
      <c r="J37" s="32">
        <v>73.26</v>
      </c>
      <c r="K37" s="32">
        <v>139.2</v>
      </c>
      <c r="L37" s="43">
        <v>160.84</v>
      </c>
      <c r="M37" s="32">
        <v>18.0039</v>
      </c>
      <c r="N37" s="32">
        <v>85.2437</v>
      </c>
      <c r="O37" s="32">
        <v>310.13</v>
      </c>
      <c r="P37" s="32">
        <v>850.3743</v>
      </c>
      <c r="Q37" s="44">
        <v>9.04508592383149</v>
      </c>
      <c r="R37" s="44">
        <v>27.5175215981532</v>
      </c>
      <c r="S37" s="44">
        <v>72.3344541982131</v>
      </c>
      <c r="T37" s="44">
        <v>161.858531663594</v>
      </c>
      <c r="U37" s="45">
        <v>119.265305681244</v>
      </c>
      <c r="V37" s="45">
        <v>147.073011362316</v>
      </c>
      <c r="W37" s="45">
        <v>331.558076857363</v>
      </c>
      <c r="X37" s="45">
        <v>412.887705822077</v>
      </c>
    </row>
    <row r="38" spans="1:24">
      <c r="A38" s="1"/>
      <c r="B38" s="15" t="s">
        <v>112</v>
      </c>
      <c r="C38" s="28" t="s">
        <v>113</v>
      </c>
      <c r="D38" s="28" t="s">
        <v>114</v>
      </c>
      <c r="E38" s="29">
        <v>488.1818</v>
      </c>
      <c r="F38" s="30">
        <v>484.2084</v>
      </c>
      <c r="G38" s="30">
        <v>460.3585</v>
      </c>
      <c r="H38" s="30">
        <v>439.3699</v>
      </c>
      <c r="I38" s="29">
        <v>769.08</v>
      </c>
      <c r="J38" s="30">
        <v>809.11</v>
      </c>
      <c r="K38" s="30">
        <v>900.14</v>
      </c>
      <c r="L38" s="31">
        <v>1044.59</v>
      </c>
      <c r="M38" s="30">
        <v>39.42</v>
      </c>
      <c r="N38" s="30">
        <v>160.1</v>
      </c>
      <c r="O38" s="30">
        <v>614.12</v>
      </c>
      <c r="P38" s="30">
        <v>1669.45</v>
      </c>
      <c r="Q38" s="33">
        <v>19.8044472096289</v>
      </c>
      <c r="R38" s="33">
        <v>51.6818862609708</v>
      </c>
      <c r="S38" s="33">
        <v>143.236820082567</v>
      </c>
      <c r="T38" s="33">
        <v>317.759750836527</v>
      </c>
      <c r="U38" s="27">
        <v>367.262455777775</v>
      </c>
      <c r="V38" s="27">
        <v>347.963911442602</v>
      </c>
      <c r="W38" s="27">
        <v>1171.67245352493</v>
      </c>
      <c r="X38" s="27">
        <v>1871.90526396868</v>
      </c>
    </row>
    <row r="39" spans="1:24">
      <c r="A39" s="1"/>
      <c r="B39" s="15" t="s">
        <v>115</v>
      </c>
      <c r="C39" s="28" t="s">
        <v>116</v>
      </c>
      <c r="D39" s="28" t="s">
        <v>117</v>
      </c>
      <c r="E39" s="29">
        <v>203.5802</v>
      </c>
      <c r="F39" s="30">
        <v>219.3546</v>
      </c>
      <c r="G39" s="30">
        <v>220.2899</v>
      </c>
      <c r="H39" s="30">
        <v>215.993</v>
      </c>
      <c r="I39" s="29">
        <v>271.3</v>
      </c>
      <c r="J39" s="30">
        <v>354.84</v>
      </c>
      <c r="K39" s="30">
        <v>459.53</v>
      </c>
      <c r="L39" s="31">
        <v>500.21</v>
      </c>
      <c r="M39" s="30">
        <v>29.4504</v>
      </c>
      <c r="N39" s="30">
        <v>137.6604</v>
      </c>
      <c r="O39" s="30">
        <v>932.22</v>
      </c>
      <c r="P39" s="30">
        <v>2102.7</v>
      </c>
      <c r="Q39" s="33">
        <v>14.795760834664</v>
      </c>
      <c r="R39" s="33">
        <v>44.4381582475937</v>
      </c>
      <c r="S39" s="33">
        <v>217.430190219128</v>
      </c>
      <c r="T39" s="33">
        <v>400.22368329927</v>
      </c>
      <c r="U39" s="27">
        <v>885.378155739157</v>
      </c>
      <c r="V39" s="27">
        <v>2035.64911744934</v>
      </c>
      <c r="W39" s="27">
        <v>4053.64620082034</v>
      </c>
      <c r="X39" s="27">
        <v>5237.55952813193</v>
      </c>
    </row>
    <row r="40" spans="1:24">
      <c r="A40" s="1"/>
      <c r="B40" s="15" t="s">
        <v>118</v>
      </c>
      <c r="C40" s="28" t="s">
        <v>119</v>
      </c>
      <c r="D40" s="28" t="s">
        <v>120</v>
      </c>
      <c r="E40" s="29">
        <v>496.2961</v>
      </c>
      <c r="F40" s="30">
        <v>551.6423</v>
      </c>
      <c r="G40" s="30">
        <v>535.2924</v>
      </c>
      <c r="H40" s="30">
        <v>532.4476</v>
      </c>
      <c r="I40" s="29">
        <v>1421.39</v>
      </c>
      <c r="J40" s="30">
        <v>1552.82</v>
      </c>
      <c r="K40" s="30">
        <v>1630.26</v>
      </c>
      <c r="L40" s="31">
        <v>1733.61</v>
      </c>
      <c r="M40" s="30">
        <v>39.0156</v>
      </c>
      <c r="N40" s="30">
        <v>177.0334</v>
      </c>
      <c r="O40" s="30">
        <v>650.57</v>
      </c>
      <c r="P40" s="30">
        <v>1969.24</v>
      </c>
      <c r="Q40" s="33">
        <v>19.6012782991374</v>
      </c>
      <c r="R40" s="33">
        <v>57.1481576714113</v>
      </c>
      <c r="S40" s="33">
        <v>151.738386701485</v>
      </c>
      <c r="T40" s="33">
        <v>374.82117567901</v>
      </c>
      <c r="U40" s="27">
        <v>522.394653152563</v>
      </c>
      <c r="V40" s="27">
        <v>918.156322753679</v>
      </c>
      <c r="W40" s="27">
        <v>1727.3263312664</v>
      </c>
      <c r="X40" s="27">
        <v>2123.275456494</v>
      </c>
    </row>
    <row r="41" spans="1:24">
      <c r="A41" s="1"/>
      <c r="B41" s="15" t="s">
        <v>121</v>
      </c>
      <c r="C41" s="28" t="s">
        <v>122</v>
      </c>
      <c r="D41" s="28" t="s">
        <v>123</v>
      </c>
      <c r="E41" s="29">
        <v>150.5894</v>
      </c>
      <c r="F41" s="30">
        <v>144.2667</v>
      </c>
      <c r="G41" s="30">
        <v>156.267</v>
      </c>
      <c r="H41" s="30">
        <v>131.1726</v>
      </c>
      <c r="I41" s="29">
        <v>156.27</v>
      </c>
      <c r="J41" s="30">
        <v>166.16</v>
      </c>
      <c r="K41" s="30">
        <v>239.39</v>
      </c>
      <c r="L41" s="31">
        <v>275.05</v>
      </c>
      <c r="M41" s="30">
        <v>13.8615</v>
      </c>
      <c r="N41" s="30">
        <v>75.7087</v>
      </c>
      <c r="O41" s="30">
        <v>455.88</v>
      </c>
      <c r="P41" s="30">
        <v>1003.67</v>
      </c>
      <c r="Q41" s="33">
        <v>6.96396106028084</v>
      </c>
      <c r="R41" s="33">
        <v>24.439527934828</v>
      </c>
      <c r="S41" s="33">
        <v>106.32905871693</v>
      </c>
      <c r="T41" s="33">
        <v>191.036526474047</v>
      </c>
      <c r="U41" s="27">
        <v>325.954644007823</v>
      </c>
      <c r="V41" s="27">
        <v>472.153482758895</v>
      </c>
      <c r="W41" s="27">
        <v>1713.32931903826</v>
      </c>
      <c r="X41" s="27">
        <v>2102.80997047009</v>
      </c>
    </row>
    <row r="42" spans="1:24">
      <c r="A42" s="1"/>
      <c r="B42" s="15" t="s">
        <v>124</v>
      </c>
      <c r="C42" s="28" t="s">
        <v>125</v>
      </c>
      <c r="D42" s="28" t="s">
        <v>126</v>
      </c>
      <c r="E42" s="29">
        <v>324.546</v>
      </c>
      <c r="F42" s="30">
        <v>336.7502</v>
      </c>
      <c r="G42" s="30">
        <v>354.5067</v>
      </c>
      <c r="H42" s="30">
        <v>364.442</v>
      </c>
      <c r="I42" s="29">
        <v>285.37</v>
      </c>
      <c r="J42" s="30">
        <v>364.03</v>
      </c>
      <c r="K42" s="30">
        <v>503.95</v>
      </c>
      <c r="L42" s="31">
        <v>616</v>
      </c>
      <c r="M42" s="30">
        <v>33.9396</v>
      </c>
      <c r="N42" s="30">
        <v>274.3378</v>
      </c>
      <c r="O42" s="30">
        <v>1329.42</v>
      </c>
      <c r="P42" s="30">
        <v>3714.137</v>
      </c>
      <c r="Q42" s="33">
        <v>17.051116603651</v>
      </c>
      <c r="R42" s="33">
        <v>88.5589942328855</v>
      </c>
      <c r="S42" s="33">
        <v>310.072776255727</v>
      </c>
      <c r="T42" s="33">
        <v>706.941356550198</v>
      </c>
      <c r="U42" s="27">
        <v>1054.18000750313</v>
      </c>
      <c r="V42" s="27">
        <v>1832.23090238044</v>
      </c>
      <c r="W42" s="27">
        <v>5084.7872747825</v>
      </c>
      <c r="X42" s="27">
        <v>6403.02482586561</v>
      </c>
    </row>
    <row r="43" spans="1:24">
      <c r="A43" s="46"/>
      <c r="B43" s="15" t="s">
        <v>127</v>
      </c>
      <c r="C43" s="35" t="s">
        <v>128</v>
      </c>
      <c r="D43" s="35" t="s">
        <v>129</v>
      </c>
      <c r="E43" s="29">
        <v>263.0959</v>
      </c>
      <c r="F43" s="36">
        <v>265.9639</v>
      </c>
      <c r="G43" s="36">
        <v>253.2938</v>
      </c>
      <c r="H43" s="36">
        <v>250.0063</v>
      </c>
      <c r="I43" s="29">
        <v>202.68</v>
      </c>
      <c r="J43" s="36">
        <v>232.55</v>
      </c>
      <c r="K43" s="36">
        <v>339.43</v>
      </c>
      <c r="L43" s="31">
        <v>405.56</v>
      </c>
      <c r="M43" s="36">
        <v>29.6284</v>
      </c>
      <c r="N43" s="36">
        <v>162.5</v>
      </c>
      <c r="O43" s="36">
        <v>552.04</v>
      </c>
      <c r="P43" s="36">
        <v>1591.4</v>
      </c>
      <c r="Q43" s="36">
        <v>14.8851873086192</v>
      </c>
      <c r="R43" s="36">
        <v>52.4566303398361</v>
      </c>
      <c r="S43" s="36">
        <v>128.757334329415</v>
      </c>
      <c r="T43" s="36">
        <v>302.90387102414</v>
      </c>
      <c r="U43" s="27">
        <v>361.13110166095</v>
      </c>
      <c r="V43" s="27">
        <v>430.819784782158</v>
      </c>
      <c r="W43" s="27">
        <v>1503.94163252258</v>
      </c>
      <c r="X43" s="27">
        <v>2005.19359999472</v>
      </c>
    </row>
    <row r="44" spans="1:24">
      <c r="A44" s="47" t="s">
        <v>130</v>
      </c>
      <c r="B44" s="47"/>
      <c r="C44" s="47"/>
      <c r="D44" s="47"/>
      <c r="E44" s="48">
        <f t="shared" ref="E44:X44" si="0">SUM(E3:E43)</f>
        <v>17802.5329</v>
      </c>
      <c r="F44" s="48">
        <f t="shared" si="0"/>
        <v>19438.1885</v>
      </c>
      <c r="G44" s="48">
        <f t="shared" si="0"/>
        <v>21560.641</v>
      </c>
      <c r="H44" s="48">
        <f t="shared" si="0"/>
        <v>23521.367</v>
      </c>
      <c r="I44" s="48">
        <f t="shared" si="0"/>
        <v>26687.12</v>
      </c>
      <c r="J44" s="48">
        <f t="shared" si="0"/>
        <v>31224.14</v>
      </c>
      <c r="K44" s="48">
        <f t="shared" si="0"/>
        <v>42363.41</v>
      </c>
      <c r="L44" s="48">
        <f t="shared" si="0"/>
        <v>48503.78</v>
      </c>
      <c r="M44" s="48">
        <f t="shared" si="0"/>
        <v>3587.8572</v>
      </c>
      <c r="N44" s="48">
        <f t="shared" si="0"/>
        <v>22578.8042</v>
      </c>
      <c r="O44" s="48">
        <f t="shared" si="0"/>
        <v>100610.111002729</v>
      </c>
      <c r="P44" s="48">
        <f t="shared" si="0"/>
        <v>246404.860958092</v>
      </c>
      <c r="Q44" s="48">
        <f t="shared" si="0"/>
        <v>2226.96529046809</v>
      </c>
      <c r="R44" s="48">
        <f t="shared" si="0"/>
        <v>8193.90527384004</v>
      </c>
      <c r="S44" s="48">
        <f t="shared" si="0"/>
        <v>26728.7184184869</v>
      </c>
      <c r="T44" s="48">
        <f t="shared" si="0"/>
        <v>55772.9256452174</v>
      </c>
      <c r="U44" s="48">
        <f t="shared" si="0"/>
        <v>39630.9447923017</v>
      </c>
      <c r="V44" s="48">
        <f t="shared" si="0"/>
        <v>64481.6577622517</v>
      </c>
      <c r="W44" s="48">
        <f t="shared" si="0"/>
        <v>164468.121645765</v>
      </c>
      <c r="X44" s="48">
        <f t="shared" si="0"/>
        <v>204386.36070659</v>
      </c>
    </row>
    <row r="45" spans="1:24">
      <c r="A45" s="2"/>
      <c r="B45" s="2"/>
      <c r="C45" s="2"/>
      <c r="D45" s="49" t="s">
        <v>131</v>
      </c>
      <c r="E45" s="33">
        <f t="shared" ref="E45:X45" si="1">SUM(E4:E16)</f>
        <v>6705.6516</v>
      </c>
      <c r="F45" s="33">
        <f t="shared" si="1"/>
        <v>7304.3577</v>
      </c>
      <c r="G45" s="33">
        <f t="shared" si="1"/>
        <v>7865.9903</v>
      </c>
      <c r="H45" s="33">
        <f t="shared" si="1"/>
        <v>8474.8016</v>
      </c>
      <c r="I45" s="33">
        <f t="shared" si="1"/>
        <v>12240.73</v>
      </c>
      <c r="J45" s="33">
        <f t="shared" si="1"/>
        <v>14642.77</v>
      </c>
      <c r="K45" s="33">
        <f t="shared" si="1"/>
        <v>20045.51</v>
      </c>
      <c r="L45" s="33">
        <f t="shared" si="1"/>
        <v>21511.17</v>
      </c>
      <c r="M45" s="44">
        <f t="shared" si="1"/>
        <v>1368.8649</v>
      </c>
      <c r="N45" s="44">
        <f t="shared" si="1"/>
        <v>8291.3876</v>
      </c>
      <c r="O45" s="44">
        <f t="shared" si="1"/>
        <v>42038.76</v>
      </c>
      <c r="P45" s="44">
        <f t="shared" si="1"/>
        <v>104382.6609</v>
      </c>
      <c r="Q45" s="33">
        <f t="shared" si="1"/>
        <v>845.497917589515</v>
      </c>
      <c r="R45" s="33">
        <f t="shared" si="1"/>
        <v>3155.91427041211</v>
      </c>
      <c r="S45" s="33">
        <f t="shared" si="1"/>
        <v>11387.5084732586</v>
      </c>
      <c r="T45" s="33">
        <f t="shared" si="1"/>
        <v>24391.373429464</v>
      </c>
      <c r="U45" s="33">
        <f t="shared" si="1"/>
        <v>16957.9200780312</v>
      </c>
      <c r="V45" s="33">
        <f t="shared" si="1"/>
        <v>27359.7447374376</v>
      </c>
      <c r="W45" s="33">
        <f t="shared" si="1"/>
        <v>73143.6393194874</v>
      </c>
      <c r="X45" s="33">
        <f t="shared" si="1"/>
        <v>90323.2178569823</v>
      </c>
    </row>
    <row r="46" spans="1:24">
      <c r="A46" s="2"/>
      <c r="B46" s="2"/>
      <c r="C46" s="2"/>
      <c r="D46" s="49" t="s">
        <v>132</v>
      </c>
      <c r="E46" s="33">
        <f t="shared" ref="E46:X46" si="2">SUM(E17:E27)</f>
        <v>4144.593</v>
      </c>
      <c r="F46" s="33">
        <f t="shared" si="2"/>
        <v>4593.0651</v>
      </c>
      <c r="G46" s="33">
        <f t="shared" si="2"/>
        <v>5442.6891</v>
      </c>
      <c r="H46" s="33">
        <f t="shared" si="2"/>
        <v>6456.7588</v>
      </c>
      <c r="I46" s="33">
        <f t="shared" si="2"/>
        <v>2903.2</v>
      </c>
      <c r="J46" s="33">
        <f t="shared" si="2"/>
        <v>3517.77</v>
      </c>
      <c r="K46" s="33">
        <f t="shared" si="2"/>
        <v>6556.73</v>
      </c>
      <c r="L46" s="33">
        <f t="shared" si="2"/>
        <v>9145.4</v>
      </c>
      <c r="M46" s="44">
        <f t="shared" si="2"/>
        <v>869.0044</v>
      </c>
      <c r="N46" s="44">
        <f t="shared" si="2"/>
        <v>6464.581</v>
      </c>
      <c r="O46" s="44">
        <f t="shared" si="2"/>
        <v>27368.7114027289</v>
      </c>
      <c r="P46" s="44">
        <f t="shared" si="2"/>
        <v>64997.4536580916</v>
      </c>
      <c r="Q46" s="33">
        <f t="shared" si="2"/>
        <v>449.927674073161</v>
      </c>
      <c r="R46" s="33">
        <f t="shared" si="2"/>
        <v>1990.02738595921</v>
      </c>
      <c r="S46" s="33">
        <f t="shared" si="2"/>
        <v>6067.87203276605</v>
      </c>
      <c r="T46" s="33">
        <f t="shared" si="2"/>
        <v>12432.1001112492</v>
      </c>
      <c r="U46" s="33">
        <f t="shared" si="2"/>
        <v>6650.21659676236</v>
      </c>
      <c r="V46" s="33">
        <f t="shared" si="2"/>
        <v>12863.7801799553</v>
      </c>
      <c r="W46" s="33">
        <f t="shared" si="2"/>
        <v>34192.2558461357</v>
      </c>
      <c r="X46" s="33">
        <f t="shared" si="2"/>
        <v>41289.8521445025</v>
      </c>
    </row>
    <row r="47" spans="1:24">
      <c r="A47" s="2"/>
      <c r="B47" s="2"/>
      <c r="C47" s="2"/>
      <c r="D47" s="49" t="s">
        <v>133</v>
      </c>
      <c r="E47" s="33">
        <f t="shared" ref="E47:X47" si="3">SUM(E28:E43)</f>
        <v>5618.1005</v>
      </c>
      <c r="F47" s="33">
        <f t="shared" si="3"/>
        <v>5899.9948</v>
      </c>
      <c r="G47" s="33">
        <f t="shared" si="3"/>
        <v>5950.0468</v>
      </c>
      <c r="H47" s="33">
        <f t="shared" si="3"/>
        <v>6102.7171</v>
      </c>
      <c r="I47" s="33">
        <f t="shared" si="3"/>
        <v>10502.14</v>
      </c>
      <c r="J47" s="33">
        <f t="shared" si="3"/>
        <v>11616.03</v>
      </c>
      <c r="K47" s="33">
        <f t="shared" si="3"/>
        <v>13411.1</v>
      </c>
      <c r="L47" s="33">
        <f t="shared" si="3"/>
        <v>14966.55</v>
      </c>
      <c r="M47" s="44">
        <f t="shared" si="3"/>
        <v>568.3279</v>
      </c>
      <c r="N47" s="44">
        <f t="shared" si="3"/>
        <v>3010.6856</v>
      </c>
      <c r="O47" s="44">
        <f t="shared" si="3"/>
        <v>13287.2296</v>
      </c>
      <c r="P47" s="44">
        <f t="shared" si="3"/>
        <v>38061.4464</v>
      </c>
      <c r="Q47" s="33">
        <f t="shared" si="3"/>
        <v>285.525618805409</v>
      </c>
      <c r="R47" s="33">
        <f t="shared" si="3"/>
        <v>971.879517468724</v>
      </c>
      <c r="S47" s="33">
        <f t="shared" si="3"/>
        <v>3099.10199246233</v>
      </c>
      <c r="T47" s="33">
        <f t="shared" si="3"/>
        <v>7244.53905450409</v>
      </c>
      <c r="U47" s="33">
        <f t="shared" si="3"/>
        <v>10520.8584938911</v>
      </c>
      <c r="V47" s="33">
        <f t="shared" si="3"/>
        <v>14856.8331615564</v>
      </c>
      <c r="W47" s="33">
        <f t="shared" si="3"/>
        <v>36752.2446059646</v>
      </c>
      <c r="X47" s="33">
        <f t="shared" si="3"/>
        <v>49759.1649793307</v>
      </c>
    </row>
  </sheetData>
  <mergeCells count="9">
    <mergeCell ref="E1:H1"/>
    <mergeCell ref="I1:L1"/>
    <mergeCell ref="M1:P1"/>
    <mergeCell ref="Q1:T1"/>
    <mergeCell ref="U1:X1"/>
    <mergeCell ref="A44:D44"/>
    <mergeCell ref="A4:A16"/>
    <mergeCell ref="A17:A27"/>
    <mergeCell ref="A28:A43"/>
  </mergeCells>
  <conditionalFormatting sqref="E3:H4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{df7ae5ae-59b6-4fd6-bc68-1a06d394e17f}</x14:id>
        </ext>
      </extLst>
    </cfRule>
  </conditionalFormatting>
  <conditionalFormatting sqref="Q3:T4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{722aee1a-abfc-4b8a-98f8-52e5292b7c49}</x14:id>
        </ext>
      </extLst>
    </cfRule>
  </conditionalFormatting>
  <conditionalFormatting sqref="U3:X4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{8e9764bb-f2f2-4a1c-80b0-84139e7b2717}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7ae5ae-59b6-4fd6-bc68-1a06d394e17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E3:H43</xm:sqref>
        </x14:conditionalFormatting>
        <x14:conditionalFormatting xmlns:xm="http://schemas.microsoft.com/office/excel/2006/main">
          <x14:cfRule type="dataBar" id="{722aee1a-abfc-4b8a-98f8-52e5292b7c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Q3:T43</xm:sqref>
        </x14:conditionalFormatting>
        <x14:conditionalFormatting xmlns:xm="http://schemas.microsoft.com/office/excel/2006/main">
          <x14:cfRule type="dataBar" id="{8e9764bb-f2f2-4a1c-80b0-84139e7b27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U3:X43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演示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zhouhuiling</dc:creator>
  <cp:lastModifiedBy>周荟玲</cp:lastModifiedBy>
  <dcterms:created xsi:type="dcterms:W3CDTF">2026-07-15T22:28:00Z</dcterms:created>
  <dcterms:modified xsi:type="dcterms:W3CDTF">2026-07-17T16:40:57Z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A51CBE8C0F4E01298528576A9771DEEE_41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1</vt:i4>
  </property>
</Properties>
</file>