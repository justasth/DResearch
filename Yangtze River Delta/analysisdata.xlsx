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6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<sst xmlns="http://schemas.openxmlformats.org/spreadsheetml/2006/main" count="237" uniqueCount="194">
  <si>
    <t>全称</t>
  </si>
  <si>
    <t>简</t>
  </si>
  <si>
    <t>name</t>
  </si>
  <si>
    <t>简称</t>
  </si>
  <si>
    <t>city</t>
  </si>
  <si>
    <t>p1990</t>
  </si>
  <si>
    <t>p2000</t>
  </si>
  <si>
    <t>p2010</t>
  </si>
  <si>
    <t>p2020</t>
  </si>
  <si>
    <t>l1990</t>
  </si>
  <si>
    <t>l2000</t>
  </si>
  <si>
    <t>l2010</t>
  </si>
  <si>
    <t>l2020</t>
  </si>
  <si>
    <t>e1990</t>
  </si>
  <si>
    <t>e2000</t>
  </si>
  <si>
    <t>e2010</t>
  </si>
  <si>
    <t>e2020</t>
  </si>
  <si>
    <t>Dpl1990</t>
  </si>
  <si>
    <t>Dpl2000</t>
  </si>
  <si>
    <t>Dpl2010</t>
  </si>
  <si>
    <t>Dpl2020</t>
  </si>
  <si>
    <t>Dpe1990</t>
  </si>
  <si>
    <t>Dpe2000</t>
  </si>
  <si>
    <t>Dpe2010</t>
  </si>
  <si>
    <t>Dpe2020</t>
  </si>
  <si>
    <t>Dle1990</t>
  </si>
  <si>
    <t>Dle2000</t>
  </si>
  <si>
    <t>Dle2010</t>
  </si>
  <si>
    <t>Dle2020</t>
  </si>
  <si>
    <t>上海市</t>
  </si>
  <si>
    <t>沪</t>
  </si>
  <si>
    <t>常州市</t>
  </si>
  <si>
    <t>常</t>
  </si>
  <si>
    <t>淮安市</t>
  </si>
  <si>
    <t>淮</t>
  </si>
  <si>
    <t>连云港市</t>
  </si>
  <si>
    <t>连</t>
  </si>
  <si>
    <t>南京市</t>
  </si>
  <si>
    <t>宁</t>
  </si>
  <si>
    <t>南通市</t>
  </si>
  <si>
    <t>通</t>
  </si>
  <si>
    <t>苏州市</t>
  </si>
  <si>
    <t>苏</t>
  </si>
  <si>
    <t>宿迁市</t>
  </si>
  <si>
    <t>迁</t>
  </si>
  <si>
    <t>泰州市</t>
  </si>
  <si>
    <t>泰</t>
  </si>
  <si>
    <t>无锡市</t>
  </si>
  <si>
    <t>锡</t>
  </si>
  <si>
    <t>徐州市</t>
  </si>
  <si>
    <t>徐</t>
  </si>
  <si>
    <t>盐城市</t>
  </si>
  <si>
    <t>盐</t>
  </si>
  <si>
    <t>扬州市</t>
  </si>
  <si>
    <t>扬</t>
  </si>
  <si>
    <t>镇江市</t>
  </si>
  <si>
    <t>镇</t>
  </si>
  <si>
    <t>杭州市</t>
  </si>
  <si>
    <t>杭</t>
  </si>
  <si>
    <t>湖州市</t>
  </si>
  <si>
    <t>湖</t>
  </si>
  <si>
    <t>嘉兴市</t>
  </si>
  <si>
    <t>嘉</t>
  </si>
  <si>
    <t>金华市</t>
  </si>
  <si>
    <t>金</t>
  </si>
  <si>
    <t>丽水市</t>
  </si>
  <si>
    <t>丽</t>
  </si>
  <si>
    <t>宁波市</t>
  </si>
  <si>
    <t>甬</t>
  </si>
  <si>
    <t>衢州市</t>
  </si>
  <si>
    <t>衢</t>
  </si>
  <si>
    <t>绍兴市</t>
  </si>
  <si>
    <t>绍</t>
  </si>
  <si>
    <t>台州市</t>
  </si>
  <si>
    <t>台</t>
  </si>
  <si>
    <t>温州市</t>
  </si>
  <si>
    <t>温</t>
  </si>
  <si>
    <t>舟山市</t>
  </si>
  <si>
    <t>舟</t>
  </si>
  <si>
    <t>安庆市</t>
  </si>
  <si>
    <t>安</t>
  </si>
  <si>
    <t>蚌埠市</t>
  </si>
  <si>
    <t>蚌</t>
  </si>
  <si>
    <t>亳州市</t>
  </si>
  <si>
    <t>亳</t>
  </si>
  <si>
    <t>池州市</t>
  </si>
  <si>
    <t>池</t>
  </si>
  <si>
    <t>滁州市</t>
  </si>
  <si>
    <t>滁</t>
  </si>
  <si>
    <t>阜阳市</t>
  </si>
  <si>
    <t>阜</t>
  </si>
  <si>
    <t>合肥市</t>
  </si>
  <si>
    <t>庐</t>
  </si>
  <si>
    <t>淮北市</t>
  </si>
  <si>
    <t>淮北</t>
  </si>
  <si>
    <t>淮南市</t>
  </si>
  <si>
    <t>淮南</t>
  </si>
  <si>
    <t>黄山市</t>
  </si>
  <si>
    <t>黄</t>
  </si>
  <si>
    <t>六安市</t>
  </si>
  <si>
    <t>六</t>
  </si>
  <si>
    <t>马鞍山市</t>
  </si>
  <si>
    <t>马</t>
  </si>
  <si>
    <t>宿州市</t>
  </si>
  <si>
    <t>宿</t>
  </si>
  <si>
    <t>铜陵市</t>
  </si>
  <si>
    <t>铜</t>
  </si>
  <si>
    <t>芜湖市</t>
  </si>
  <si>
    <t>芜</t>
  </si>
  <si>
    <t>宣城市</t>
  </si>
  <si>
    <t>宣</t>
  </si>
  <si>
    <t>城市中文名</t>
  </si>
  <si>
    <t>英文名</t>
  </si>
  <si>
    <t>英文简称</t>
  </si>
  <si>
    <t>Shanghai</t>
  </si>
  <si>
    <t>Shh</t>
  </si>
  <si>
    <t>Changzhou</t>
  </si>
  <si>
    <t>Cz</t>
  </si>
  <si>
    <t>Huai'an</t>
  </si>
  <si>
    <t>Ha</t>
  </si>
  <si>
    <t>Lianyungang</t>
  </si>
  <si>
    <t>Lyg</t>
  </si>
  <si>
    <t>Nanjing</t>
  </si>
  <si>
    <t>Nj</t>
  </si>
  <si>
    <t>Nantong</t>
  </si>
  <si>
    <t>Nt</t>
  </si>
  <si>
    <t>Suzhou</t>
  </si>
  <si>
    <t>Sz</t>
  </si>
  <si>
    <t>Suqian</t>
  </si>
  <si>
    <t>Sq</t>
  </si>
  <si>
    <t>Taizhou</t>
  </si>
  <si>
    <t>Tz</t>
  </si>
  <si>
    <t>Wuxi</t>
  </si>
  <si>
    <t>Wx</t>
  </si>
  <si>
    <t>Xuzhou</t>
  </si>
  <si>
    <t>Xz</t>
  </si>
  <si>
    <t>Yancheng</t>
  </si>
  <si>
    <t>Yc</t>
  </si>
  <si>
    <t>Yangzhou</t>
  </si>
  <si>
    <t>Yz</t>
  </si>
  <si>
    <t>Zhenjiang</t>
  </si>
  <si>
    <t>Zj</t>
  </si>
  <si>
    <t>Hangzhou</t>
  </si>
  <si>
    <t>Hz</t>
  </si>
  <si>
    <t>Huzhou</t>
  </si>
  <si>
    <t>Hu</t>
  </si>
  <si>
    <t>Jiaxing</t>
  </si>
  <si>
    <t>Jx</t>
  </si>
  <si>
    <t>Jinhua</t>
  </si>
  <si>
    <t>Jh</t>
  </si>
  <si>
    <t>Lishui</t>
  </si>
  <si>
    <t>Ls</t>
  </si>
  <si>
    <t>Ningbo</t>
  </si>
  <si>
    <t>Nb</t>
  </si>
  <si>
    <t>Quzhou</t>
  </si>
  <si>
    <t>Qz</t>
  </si>
  <si>
    <t>Shaoxing</t>
  </si>
  <si>
    <t>Sx</t>
  </si>
  <si>
    <t>Tzh</t>
  </si>
  <si>
    <t>Wenzhou</t>
  </si>
  <si>
    <t>Wz</t>
  </si>
  <si>
    <t>Zhoushan</t>
  </si>
  <si>
    <t>Zs</t>
  </si>
  <si>
    <t>Anqing</t>
  </si>
  <si>
    <t>Aq</t>
  </si>
  <si>
    <t>Bengbu</t>
  </si>
  <si>
    <t>Bb</t>
  </si>
  <si>
    <t>Bozhou</t>
  </si>
  <si>
    <t>Bz</t>
  </si>
  <si>
    <t>Chizhou</t>
  </si>
  <si>
    <t>Czh</t>
  </si>
  <si>
    <t>Chuzhou</t>
  </si>
  <si>
    <t>Chz</t>
  </si>
  <si>
    <t>Fuyang</t>
  </si>
  <si>
    <t>Fy</t>
  </si>
  <si>
    <t>Hefei</t>
  </si>
  <si>
    <t>Hf</t>
  </si>
  <si>
    <t>Huaibei</t>
  </si>
  <si>
    <t>Hb</t>
  </si>
  <si>
    <t>Huainan</t>
  </si>
  <si>
    <t>Hn</t>
  </si>
  <si>
    <t>Huangshan</t>
  </si>
  <si>
    <t>Hs</t>
  </si>
  <si>
    <t>Lu'an</t>
  </si>
  <si>
    <t>La</t>
  </si>
  <si>
    <t>Maanshan</t>
  </si>
  <si>
    <t>Ms</t>
  </si>
  <si>
    <t>Szh</t>
  </si>
  <si>
    <t>Tongling</t>
  </si>
  <si>
    <t>Tl</t>
  </si>
  <si>
    <t>Wuhu</t>
  </si>
  <si>
    <t>Wh</t>
  </si>
  <si>
    <t>Xuancheng</t>
  </si>
  <si>
    <t>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</si>
</sst>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 * #,##0.0000_ ;_ * \-#,##0.0000_ ;_ * &quot;-&quot;??.000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vertical="center"/>
    </xf>
    <xf numFmtId="176" fontId="2" fillId="0" borderId="5" xfId="0" applyNumberFormat="1" applyFont="1" applyFill="1" applyBorder="1" applyAlignment="1">
      <alignment vertical="center"/>
    </xf>
    <xf numFmtId="176" fontId="2" fillId="0" borderId="6" xfId="0" applyNumberFormat="1" applyFont="1" applyFill="1" applyBorder="1" applyAlignment="1">
      <alignment vertical="center"/>
    </xf>
    <xf numFmtId="176" fontId="2" fillId="0" borderId="3" xfId="0" applyNumberFormat="1" applyFont="1" applyFill="1" applyBorder="1" applyAlignment="1">
      <alignment vertical="center"/>
    </xf>
    <xf numFmtId="176" fontId="2" fillId="0" borderId="0" xfId="0" applyNumberFormat="1" applyFont="1" applyFill="1" applyAlignment="1">
      <alignment vertical="center"/>
    </xf>
    <xf numFmtId="176" fontId="2" fillId="0" borderId="7" xfId="0" applyNumberFormat="1" applyFont="1" applyFill="1" applyBorder="1" applyAlignment="1">
      <alignment vertical="center"/>
    </xf>
    <xf numFmtId="176" fontId="2" fillId="0" borderId="8" xfId="0" applyNumberFormat="1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176" fontId="2" fillId="0" borderId="10" xfId="0" applyNumberFormat="1" applyFont="1" applyFill="1" applyBorder="1" applyAlignment="1">
      <alignment vertical="center"/>
    </xf>
    <xf numFmtId="176" fontId="2" fillId="0" borderId="11" xfId="0" applyNumberFormat="1" applyFont="1" applyFill="1" applyBorder="1" applyAlignment="1">
      <alignment vertical="center"/>
    </xf>
    <xf numFmtId="176" fontId="2" fillId="0" borderId="9" xfId="0" applyNumberFormat="1" applyFont="1" applyFill="1" applyBorder="1" applyAlignment="1">
      <alignment vertical="center"/>
    </xf>
    <xf numFmtId="176" fontId="2" fillId="0" borderId="12" xfId="0" applyNumberFormat="1" applyFont="1" applyFill="1" applyBorder="1" applyAlignment="1">
      <alignment vertical="center"/>
    </xf>
    <xf numFmtId="177" fontId="0" fillId="0" borderId="0" xfId="0" applyNumberFormat="1">
      <alignment vertical="center"/>
    </xf>
    <xf numFmtId="176" fontId="2" fillId="0" borderId="0" xfId="0" applyNumberFormat="1" applyFont="1" applyFill="1" applyBorder="1" applyAlignmen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tabSelected="1" zoomScale="70" zoomScaleNormal="70" topLeftCell="C1" workbookViewId="0">
      <selection activeCell="AE38" sqref="AE38"/>
    </sheetView>
  </sheetViews>
  <sheetFormatPr defaultColWidth="9.23076923076923" defaultRowHeight="16.8"/>
  <cols>
    <col min="1" max="1" width="9.23076923076923" style="1"/>
    <col min="3" max="3" width="11.0480769230769" customWidth="1"/>
    <col min="4" max="4" width="12.8076923076923" customWidth="1"/>
    <col min="5" max="5" width="9.23076923076923" style="1"/>
    <col min="6" max="6" width="9.69230769230769"/>
    <col min="7" max="9" width="10.6923076923077"/>
    <col min="14" max="15" width="9.69230769230769"/>
    <col min="16" max="16" width="11.7692307692308"/>
    <col min="17" max="17" width="12.9230769230769"/>
    <col min="18" max="21" width="9.69230769230769"/>
    <col min="22" max="23" width="9.92307692307692"/>
    <col min="24" max="25" width="9.69230769230769"/>
    <col min="26" max="29" width="14.0769230769231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ht="35" customHeight="1" spans="1:29">
      <c r="A2" s="3" t="s">
        <v>29</v>
      </c>
      <c r="B2" s="3" t="s">
        <v>30</v>
      </c>
      <c r="C2" s="4" t="str">
        <f>VLOOKUP(A2,Sheet3!A:C,2,FALSE)</f>
        <v>Shanghai</v>
      </c>
      <c r="D2" s="5" t="str">
        <f>VLOOKUP(A2,Sheet3!A:C,3,FALSE)</f>
        <v>Shh</v>
      </c>
      <c r="E2" s="8">
        <v>1</v>
      </c>
      <c r="F2" s="9">
        <v>1334.1878</v>
      </c>
      <c r="G2" s="10">
        <v>1640.7709</v>
      </c>
      <c r="H2" s="10">
        <v>2301.9148</v>
      </c>
      <c r="I2" s="10">
        <v>2487.0895</v>
      </c>
      <c r="J2" s="9">
        <v>1041.05</v>
      </c>
      <c r="K2" s="10">
        <v>1447.57</v>
      </c>
      <c r="L2" s="10">
        <v>2350.07</v>
      </c>
      <c r="M2" s="19">
        <v>2880.66</v>
      </c>
      <c r="N2" s="12">
        <v>781.66</v>
      </c>
      <c r="O2" s="12">
        <v>4812.15</v>
      </c>
      <c r="P2" s="12">
        <v>17915.41</v>
      </c>
      <c r="Q2" s="10">
        <v>38963.3</v>
      </c>
      <c r="R2" s="23">
        <v>3.59342517172915</v>
      </c>
      <c r="S2" s="23">
        <v>3.8049056583239</v>
      </c>
      <c r="T2" s="23">
        <v>5.12906218657393</v>
      </c>
      <c r="U2" s="23">
        <v>4.63470328833802</v>
      </c>
      <c r="V2" s="23">
        <v>-14.291892195795</v>
      </c>
      <c r="W2" s="23">
        <v>-12.8717214958297</v>
      </c>
      <c r="X2" s="23">
        <v>-7.13030157867654</v>
      </c>
      <c r="Y2" s="23">
        <v>-5.23897008045992</v>
      </c>
      <c r="Z2">
        <f>V2-R2</f>
        <v>-17.8853173675242</v>
      </c>
      <c r="AA2">
        <f>W2-S2</f>
        <v>-16.6766271541536</v>
      </c>
      <c r="AB2">
        <f>X2-T2</f>
        <v>-12.2593637652505</v>
      </c>
      <c r="AC2">
        <f>Y2-U2</f>
        <v>-9.87367336879794</v>
      </c>
    </row>
    <row r="3" spans="1:29">
      <c r="A3" s="3" t="s">
        <v>31</v>
      </c>
      <c r="B3" s="3" t="s">
        <v>32</v>
      </c>
      <c r="C3" s="4" t="str">
        <f>VLOOKUP(A3,Sheet3!A:C,2,FALSE)</f>
        <v>Changzhou</v>
      </c>
      <c r="D3" s="5" t="str">
        <f>VLOOKUP(A3,Sheet3!A:C,3,FALSE)</f>
        <v>Cz</v>
      </c>
      <c r="E3" s="8">
        <v>2</v>
      </c>
      <c r="F3" s="11">
        <v>327.97</v>
      </c>
      <c r="G3" s="12">
        <v>377.627</v>
      </c>
      <c r="H3" s="12">
        <v>459.1972</v>
      </c>
      <c r="I3" s="12">
        <v>527.8121</v>
      </c>
      <c r="J3" s="11">
        <v>340.05</v>
      </c>
      <c r="K3" s="12">
        <v>588.9</v>
      </c>
      <c r="L3" s="12">
        <v>924.97</v>
      </c>
      <c r="M3" s="20">
        <v>1051.85</v>
      </c>
      <c r="N3" s="12">
        <v>94.8687</v>
      </c>
      <c r="O3" s="12">
        <v>600.6573</v>
      </c>
      <c r="P3" s="12">
        <v>3091.85</v>
      </c>
      <c r="Q3" s="24">
        <v>7810.32</v>
      </c>
      <c r="R3" s="23">
        <v>0.568055758793028</v>
      </c>
      <c r="S3" s="23">
        <v>0.056666013223956</v>
      </c>
      <c r="T3" s="23">
        <v>-0.0536234241639465</v>
      </c>
      <c r="U3" s="23">
        <v>0.0753747730732585</v>
      </c>
      <c r="V3" s="23">
        <v>-0.801894480178164</v>
      </c>
      <c r="W3" s="23">
        <v>-0.717563894793869</v>
      </c>
      <c r="X3" s="23">
        <v>-0.943306852666385</v>
      </c>
      <c r="Y3" s="23">
        <v>-0.9257415520124</v>
      </c>
      <c r="Z3">
        <f t="shared" ref="Z3:Z42" si="0">V3-R3</f>
        <v>-1.36995023897119</v>
      </c>
      <c r="AA3">
        <f>W3-S3</f>
        <v>-0.774229908017825</v>
      </c>
      <c r="AB3">
        <f>X3-T3</f>
        <v>-0.889683428502439</v>
      </c>
      <c r="AC3">
        <f>Y3-U3</f>
        <v>-1.00111632508566</v>
      </c>
    </row>
    <row r="4" spans="1:29">
      <c r="A4" s="3" t="s">
        <v>33</v>
      </c>
      <c r="B4" s="3" t="s">
        <v>34</v>
      </c>
      <c r="C4" s="4" t="str">
        <f>VLOOKUP(A4,Sheet3!A:C,2,FALSE)</f>
        <v>Huai'an</v>
      </c>
      <c r="D4" s="5" t="str">
        <f>VLOOKUP(A4,Sheet3!A:C,3,FALSE)</f>
        <v>Ha</v>
      </c>
      <c r="E4" s="8">
        <v>3</v>
      </c>
      <c r="F4" s="13">
        <v>535.74</v>
      </c>
      <c r="G4" s="14">
        <v>503.8231</v>
      </c>
      <c r="H4" s="14">
        <v>479.9889</v>
      </c>
      <c r="I4" s="14">
        <v>455.623</v>
      </c>
      <c r="J4" s="13">
        <v>1601.3</v>
      </c>
      <c r="K4" s="14">
        <v>1637.97</v>
      </c>
      <c r="L4" s="14">
        <v>1951.17</v>
      </c>
      <c r="M4" s="21">
        <v>2035.74</v>
      </c>
      <c r="N4" s="14">
        <v>59.9</v>
      </c>
      <c r="O4" s="14">
        <v>289.43</v>
      </c>
      <c r="P4" s="14">
        <v>1396.38</v>
      </c>
      <c r="Q4" s="14">
        <v>4003.37</v>
      </c>
      <c r="R4" s="23">
        <v>-2.99092573319432</v>
      </c>
      <c r="S4" s="23">
        <v>-2.65392090225584</v>
      </c>
      <c r="T4" s="23">
        <v>-2.3795632934336</v>
      </c>
      <c r="U4" s="23">
        <v>-2.26001491395364</v>
      </c>
      <c r="V4" s="23">
        <v>1.33982687711759</v>
      </c>
      <c r="W4" s="23">
        <v>1.31005820252928</v>
      </c>
      <c r="X4" s="23">
        <v>0.838315216337743</v>
      </c>
      <c r="Y4" s="23">
        <v>0.312347769671426</v>
      </c>
      <c r="Z4">
        <f t="shared" si="0"/>
        <v>4.33075261031191</v>
      </c>
      <c r="AA4">
        <f>W4-S4</f>
        <v>3.96397910478512</v>
      </c>
      <c r="AB4">
        <f>X4-T4</f>
        <v>3.21787850977134</v>
      </c>
      <c r="AC4">
        <f>Y4-U4</f>
        <v>2.57236268362507</v>
      </c>
    </row>
    <row r="5" customHeight="1" spans="1:29">
      <c r="A5" s="3" t="s">
        <v>35</v>
      </c>
      <c r="B5" s="3" t="s">
        <v>36</v>
      </c>
      <c r="C5" s="4" t="str">
        <f>VLOOKUP(A5,Sheet3!A:C,2,FALSE)</f>
        <v>Lianyungang</v>
      </c>
      <c r="D5" s="5" t="str">
        <f>VLOOKUP(A5,Sheet3!A:C,3,FALSE)</f>
        <v>Lyg</v>
      </c>
      <c r="E5" s="8">
        <v>4</v>
      </c>
      <c r="F5" s="13">
        <v>343.97</v>
      </c>
      <c r="G5" s="14">
        <v>456.9913</v>
      </c>
      <c r="H5" s="14">
        <v>439.3914</v>
      </c>
      <c r="I5" s="14">
        <v>459.936</v>
      </c>
      <c r="J5" s="13">
        <v>1577.87</v>
      </c>
      <c r="K5" s="14">
        <v>1597.61</v>
      </c>
      <c r="L5" s="14">
        <v>1882.16</v>
      </c>
      <c r="M5" s="21">
        <v>1747.04</v>
      </c>
      <c r="N5" s="14">
        <v>55.19</v>
      </c>
      <c r="O5" s="14">
        <v>249.07</v>
      </c>
      <c r="P5" s="14">
        <v>1201.79</v>
      </c>
      <c r="Q5" s="14">
        <v>3277.07</v>
      </c>
      <c r="R5" s="23">
        <v>-3.98033683861365</v>
      </c>
      <c r="S5" s="23">
        <v>-2.76558870942325</v>
      </c>
      <c r="T5" s="23">
        <v>-2.40495777595521</v>
      </c>
      <c r="U5" s="23">
        <v>-1.64646705236059</v>
      </c>
      <c r="V5" s="23">
        <v>0.393896738298937</v>
      </c>
      <c r="W5" s="23">
        <v>1.2478831471618</v>
      </c>
      <c r="X5" s="23">
        <v>0.843430706158609</v>
      </c>
      <c r="Y5" s="23">
        <v>0.625443084386562</v>
      </c>
      <c r="Z5">
        <f t="shared" si="0"/>
        <v>4.37423357691259</v>
      </c>
      <c r="AA5">
        <f>W5-S5</f>
        <v>4.01347185658505</v>
      </c>
      <c r="AB5">
        <f>X5-T5</f>
        <v>3.24838848211382</v>
      </c>
      <c r="AC5">
        <f>Y5-U5</f>
        <v>2.27191013674715</v>
      </c>
    </row>
    <row r="6" spans="1:29">
      <c r="A6" s="3" t="s">
        <v>37</v>
      </c>
      <c r="B6" s="3" t="s">
        <v>38</v>
      </c>
      <c r="C6" s="4" t="str">
        <f>VLOOKUP(A6,Sheet3!A:C,2,FALSE)</f>
        <v>Nanjing</v>
      </c>
      <c r="D6" s="5" t="str">
        <f>VLOOKUP(A6,Sheet3!A:C,3,FALSE)</f>
        <v>Nj</v>
      </c>
      <c r="E6" s="8">
        <v>5</v>
      </c>
      <c r="F6" s="13">
        <v>516.81</v>
      </c>
      <c r="G6" s="14">
        <v>612.6165</v>
      </c>
      <c r="H6" s="14">
        <v>800.468</v>
      </c>
      <c r="I6" s="14">
        <v>931.4685</v>
      </c>
      <c r="J6" s="13">
        <v>835.85</v>
      </c>
      <c r="K6" s="14">
        <v>1056.24</v>
      </c>
      <c r="L6" s="14">
        <v>1552.98</v>
      </c>
      <c r="M6" s="21">
        <v>1753</v>
      </c>
      <c r="N6" s="14">
        <v>176.52</v>
      </c>
      <c r="O6" s="14">
        <v>1073.54</v>
      </c>
      <c r="P6" s="14">
        <v>5198.2</v>
      </c>
      <c r="Q6" s="14">
        <v>14782.95</v>
      </c>
      <c r="R6" s="23">
        <v>-0.229021355037874</v>
      </c>
      <c r="S6" s="23">
        <v>-0.231154182747671</v>
      </c>
      <c r="T6" s="23">
        <v>0.0467832393520537</v>
      </c>
      <c r="U6" s="23">
        <v>0.345943781967656</v>
      </c>
      <c r="V6" s="23">
        <v>-2.01691437738355</v>
      </c>
      <c r="W6" s="23">
        <v>-1.60302308391315</v>
      </c>
      <c r="X6" s="23">
        <v>-1.4540420866018</v>
      </c>
      <c r="Y6" s="23">
        <v>-2.03936041548009</v>
      </c>
      <c r="Z6">
        <f t="shared" si="0"/>
        <v>-1.78789302234568</v>
      </c>
      <c r="AA6">
        <f>W6-S6</f>
        <v>-1.37186890116548</v>
      </c>
      <c r="AB6">
        <f>X6-T6</f>
        <v>-1.50082532595385</v>
      </c>
      <c r="AC6">
        <f>Y6-U6</f>
        <v>-2.38530419744775</v>
      </c>
    </row>
    <row r="7" spans="1:29">
      <c r="A7" s="3" t="s">
        <v>39</v>
      </c>
      <c r="B7" s="3" t="s">
        <v>40</v>
      </c>
      <c r="C7" s="4" t="str">
        <f>VLOOKUP(A7,Sheet3!A:C,2,FALSE)</f>
        <v>Nantong</v>
      </c>
      <c r="D7" s="5" t="str">
        <f>VLOOKUP(A7,Sheet3!A:C,3,FALSE)</f>
        <v>Nt</v>
      </c>
      <c r="E7" s="8">
        <v>6</v>
      </c>
      <c r="F7" s="13">
        <v>766.79</v>
      </c>
      <c r="G7" s="14">
        <v>751.2919</v>
      </c>
      <c r="H7" s="14">
        <v>728.2835</v>
      </c>
      <c r="I7" s="14">
        <v>772.6635</v>
      </c>
      <c r="J7" s="13">
        <v>358.39</v>
      </c>
      <c r="K7" s="14">
        <v>513.19</v>
      </c>
      <c r="L7" s="14">
        <v>1019.68</v>
      </c>
      <c r="M7" s="21">
        <v>1371.63</v>
      </c>
      <c r="N7" s="14">
        <v>134.2454</v>
      </c>
      <c r="O7" s="14">
        <v>720.5859</v>
      </c>
      <c r="P7" s="14">
        <v>3510.56</v>
      </c>
      <c r="Q7" s="14">
        <v>10018.3109</v>
      </c>
      <c r="R7" s="23">
        <v>2.96426361364542</v>
      </c>
      <c r="S7" s="23">
        <v>2.22146234162736</v>
      </c>
      <c r="T7" s="23">
        <v>0.970855066819041</v>
      </c>
      <c r="U7" s="23">
        <v>0.457060312371803</v>
      </c>
      <c r="V7" s="23">
        <v>0.565536578036333</v>
      </c>
      <c r="W7" s="23">
        <v>0.673604107001149</v>
      </c>
      <c r="X7" s="23">
        <v>-0.111433684988357</v>
      </c>
      <c r="Y7" s="23">
        <v>-0.780849715358475</v>
      </c>
      <c r="Z7">
        <f t="shared" si="0"/>
        <v>-2.39872703560909</v>
      </c>
      <c r="AA7">
        <f>W7-S7</f>
        <v>-1.54785823462621</v>
      </c>
      <c r="AB7">
        <f>X7-T7</f>
        <v>-1.0822887518074</v>
      </c>
      <c r="AC7">
        <f>Y7-U7</f>
        <v>-1.23791002773028</v>
      </c>
    </row>
    <row r="8" customHeight="1" spans="1:29">
      <c r="A8" s="3" t="s">
        <v>41</v>
      </c>
      <c r="B8" s="3" t="s">
        <v>42</v>
      </c>
      <c r="C8" s="4" t="str">
        <f>VLOOKUP(A8,Sheet3!A:C,2,FALSE)</f>
        <v>Suzhou</v>
      </c>
      <c r="D8" s="5" t="str">
        <f>VLOOKUP(A8,Sheet3!A:C,3,FALSE)</f>
        <v>Sz</v>
      </c>
      <c r="E8" s="8">
        <v>7</v>
      </c>
      <c r="F8" s="13">
        <v>564.35</v>
      </c>
      <c r="G8" s="14">
        <v>679.2239</v>
      </c>
      <c r="H8" s="14">
        <v>1046.5994</v>
      </c>
      <c r="I8" s="14">
        <v>1274.8262</v>
      </c>
      <c r="J8" s="13">
        <v>549.85</v>
      </c>
      <c r="K8" s="14">
        <v>1016.87</v>
      </c>
      <c r="L8" s="14">
        <v>2197.5</v>
      </c>
      <c r="M8" s="21">
        <v>2452.43</v>
      </c>
      <c r="N8" s="14">
        <v>202.14</v>
      </c>
      <c r="O8" s="14">
        <v>1540.6798</v>
      </c>
      <c r="P8" s="14">
        <v>9180.76</v>
      </c>
      <c r="Q8" s="14">
        <v>20180.45</v>
      </c>
      <c r="R8" s="23">
        <v>1.10969732031917</v>
      </c>
      <c r="S8" s="23">
        <v>0.237596747036469</v>
      </c>
      <c r="T8" s="23">
        <v>-0.333046654650559</v>
      </c>
      <c r="U8" s="23">
        <v>0.363701782095343</v>
      </c>
      <c r="V8" s="23">
        <v>-2.46394896744239</v>
      </c>
      <c r="W8" s="23">
        <v>-3.32929114255019</v>
      </c>
      <c r="X8" s="23">
        <v>-4.27087401883665</v>
      </c>
      <c r="Y8" s="23">
        <v>-2.77009170885918</v>
      </c>
      <c r="Z8">
        <f t="shared" si="0"/>
        <v>-3.57364628776156</v>
      </c>
      <c r="AA8">
        <f>W8-S8</f>
        <v>-3.56688788958666</v>
      </c>
      <c r="AB8">
        <f>X8-T8</f>
        <v>-3.93782736418609</v>
      </c>
      <c r="AC8">
        <f>Y8-U8</f>
        <v>-3.13379349095452</v>
      </c>
    </row>
    <row r="9" spans="1:29">
      <c r="A9" s="3" t="s">
        <v>43</v>
      </c>
      <c r="B9" s="3" t="s">
        <v>44</v>
      </c>
      <c r="C9" s="4" t="str">
        <f>VLOOKUP(A9,Sheet3!A:C,2,FALSE)</f>
        <v>Suqian</v>
      </c>
      <c r="D9" s="5" t="str">
        <f>VLOOKUP(A9,Sheet3!A:C,3,FALSE)</f>
        <v>Sq</v>
      </c>
      <c r="E9" s="8">
        <v>8</v>
      </c>
      <c r="F9" s="13">
        <v>454.5465</v>
      </c>
      <c r="G9" s="14">
        <v>506.1576</v>
      </c>
      <c r="H9" s="14">
        <v>471.5553</v>
      </c>
      <c r="I9" s="14">
        <v>498.6192</v>
      </c>
      <c r="J9" s="13">
        <v>1609.8</v>
      </c>
      <c r="K9" s="14">
        <v>1697.99</v>
      </c>
      <c r="L9" s="14">
        <v>2009.4</v>
      </c>
      <c r="M9" s="21">
        <v>2110.74</v>
      </c>
      <c r="N9" s="14">
        <v>39.7306</v>
      </c>
      <c r="O9" s="14">
        <v>200.6512</v>
      </c>
      <c r="P9" s="14">
        <v>1064.09</v>
      </c>
      <c r="Q9" s="14">
        <v>3270.37</v>
      </c>
      <c r="R9" s="23">
        <v>-3.47885466330796</v>
      </c>
      <c r="S9" s="23">
        <v>-2.83413410670442</v>
      </c>
      <c r="T9" s="23">
        <v>-2.55613253776319</v>
      </c>
      <c r="U9" s="23">
        <v>-2.23184568933172</v>
      </c>
      <c r="V9" s="23">
        <v>1.44590578519093</v>
      </c>
      <c r="W9" s="23">
        <v>1.71526338019702</v>
      </c>
      <c r="X9" s="23">
        <v>1.12947445232293</v>
      </c>
      <c r="Y9" s="23">
        <v>0.792622015815265</v>
      </c>
      <c r="Z9">
        <f t="shared" si="0"/>
        <v>4.92476044849889</v>
      </c>
      <c r="AA9">
        <f>W9-S9</f>
        <v>4.54939748690144</v>
      </c>
      <c r="AB9">
        <f>X9-T9</f>
        <v>3.68560699008612</v>
      </c>
      <c r="AC9">
        <f>Y9-U9</f>
        <v>3.02446770514698</v>
      </c>
    </row>
    <row r="10" spans="1:29">
      <c r="A10" s="3" t="s">
        <v>45</v>
      </c>
      <c r="B10" s="3" t="s">
        <v>46</v>
      </c>
      <c r="C10" s="4" t="str">
        <f>VLOOKUP(A10,Sheet3!A:C,2,FALSE)</f>
        <v>Taizhou</v>
      </c>
      <c r="D10" s="5" t="str">
        <f>VLOOKUP(A10,Sheet3!A:C,3,FALSE)</f>
        <v>Tz</v>
      </c>
      <c r="E10" s="8">
        <v>9</v>
      </c>
      <c r="F10" s="13">
        <v>484.8351</v>
      </c>
      <c r="G10" s="14">
        <v>478.5759</v>
      </c>
      <c r="H10" s="14">
        <v>461.8558</v>
      </c>
      <c r="I10" s="14">
        <v>451.2762</v>
      </c>
      <c r="J10" s="13">
        <v>463.24</v>
      </c>
      <c r="K10" s="14">
        <v>694.69</v>
      </c>
      <c r="L10" s="14">
        <v>993.8</v>
      </c>
      <c r="M10" s="21">
        <v>1146.29</v>
      </c>
      <c r="N10" s="14">
        <v>74.21</v>
      </c>
      <c r="O10" s="14">
        <v>399.08</v>
      </c>
      <c r="P10" s="14">
        <v>2072.5</v>
      </c>
      <c r="Q10" s="14">
        <v>5297.77</v>
      </c>
      <c r="R10" s="23">
        <v>0.987586535081641</v>
      </c>
      <c r="S10" s="23">
        <v>0.237190501135918</v>
      </c>
      <c r="T10" s="23">
        <v>-0.203767739027725</v>
      </c>
      <c r="U10" s="23">
        <v>-0.44472052760314</v>
      </c>
      <c r="V10" s="23">
        <v>0.655039676522585</v>
      </c>
      <c r="W10" s="23">
        <v>0.694541221441286</v>
      </c>
      <c r="X10" s="23">
        <v>0.0821924967751474</v>
      </c>
      <c r="Y10" s="23">
        <v>-0.231446760730388</v>
      </c>
      <c r="Z10">
        <f t="shared" si="0"/>
        <v>-0.332546858559056</v>
      </c>
      <c r="AA10">
        <f>W10-S10</f>
        <v>0.457350720305368</v>
      </c>
      <c r="AB10">
        <f>X10-T10</f>
        <v>0.285960235802872</v>
      </c>
      <c r="AC10">
        <f>Y10-U10</f>
        <v>0.213273766872752</v>
      </c>
    </row>
    <row r="11" customHeight="1" spans="1:29">
      <c r="A11" s="3" t="s">
        <v>47</v>
      </c>
      <c r="B11" s="3" t="s">
        <v>48</v>
      </c>
      <c r="C11" s="4" t="str">
        <f>VLOOKUP(A11,Sheet3!A:C,2,FALSE)</f>
        <v>Wuxi</v>
      </c>
      <c r="D11" s="5" t="str">
        <f>VLOOKUP(A11,Sheet3!A:C,3,FALSE)</f>
        <v>Wx</v>
      </c>
      <c r="E11" s="8">
        <v>10</v>
      </c>
      <c r="F11" s="13">
        <v>429.16</v>
      </c>
      <c r="G11" s="14">
        <v>508.6586</v>
      </c>
      <c r="H11" s="14">
        <v>637.2624</v>
      </c>
      <c r="I11" s="14">
        <v>746.2135</v>
      </c>
      <c r="J11" s="13">
        <v>413.13</v>
      </c>
      <c r="K11" s="14">
        <v>717.52</v>
      </c>
      <c r="L11" s="14">
        <v>1216.75</v>
      </c>
      <c r="M11" s="21">
        <v>1314.62</v>
      </c>
      <c r="N11" s="14">
        <v>160.4402</v>
      </c>
      <c r="O11" s="14">
        <v>1176.5434</v>
      </c>
      <c r="P11" s="14">
        <v>5779.21</v>
      </c>
      <c r="Q11" s="14">
        <v>12340.48</v>
      </c>
      <c r="R11" s="23">
        <v>0.862618057748588</v>
      </c>
      <c r="S11" s="23">
        <v>0.318834816198841</v>
      </c>
      <c r="T11" s="23">
        <v>0.0835026487034971</v>
      </c>
      <c r="U11" s="23">
        <v>0.462146596230702</v>
      </c>
      <c r="V11" s="23">
        <v>-2.06108725007947</v>
      </c>
      <c r="W11" s="23">
        <v>-2.59403088715612</v>
      </c>
      <c r="X11" s="23">
        <v>-2.78848957398887</v>
      </c>
      <c r="Y11" s="23">
        <v>-1.83572082875105</v>
      </c>
      <c r="Z11">
        <f t="shared" si="0"/>
        <v>-2.92370530782806</v>
      </c>
      <c r="AA11">
        <f>W11-S11</f>
        <v>-2.91286570335496</v>
      </c>
      <c r="AB11">
        <f>X11-T11</f>
        <v>-2.87199222269237</v>
      </c>
      <c r="AC11">
        <f>Y11-U11</f>
        <v>-2.29786742498175</v>
      </c>
    </row>
    <row r="12" spans="1:29">
      <c r="A12" s="3" t="s">
        <v>49</v>
      </c>
      <c r="B12" s="3" t="s">
        <v>50</v>
      </c>
      <c r="C12" s="4" t="str">
        <f>VLOOKUP(A12,Sheet3!A:C,2,FALSE)</f>
        <v>Xuzhou</v>
      </c>
      <c r="D12" s="5" t="str">
        <f>VLOOKUP(A12,Sheet3!A:C,3,FALSE)</f>
        <v>Xz</v>
      </c>
      <c r="E12" s="8">
        <v>11</v>
      </c>
      <c r="F12" s="13">
        <v>816.2</v>
      </c>
      <c r="G12" s="14">
        <v>891.3965</v>
      </c>
      <c r="H12" s="14">
        <v>858.05</v>
      </c>
      <c r="I12" s="14">
        <v>908.379</v>
      </c>
      <c r="J12" s="13">
        <v>1911.11</v>
      </c>
      <c r="K12" s="14">
        <v>2110.28</v>
      </c>
      <c r="L12" s="14">
        <v>2518.4</v>
      </c>
      <c r="M12" s="21">
        <v>2700.27</v>
      </c>
      <c r="N12" s="14">
        <v>112.84</v>
      </c>
      <c r="O12" s="14">
        <v>616.3</v>
      </c>
      <c r="P12" s="14">
        <v>2951.47</v>
      </c>
      <c r="Q12" s="14">
        <v>7284.77</v>
      </c>
      <c r="R12" s="23">
        <v>-2.57642902259461</v>
      </c>
      <c r="S12" s="23">
        <v>-2.17268851832309</v>
      </c>
      <c r="T12" s="23">
        <v>-1.96504736779845</v>
      </c>
      <c r="U12" s="23">
        <v>-1.70520196436845</v>
      </c>
      <c r="V12" s="23">
        <v>1.43968815287945</v>
      </c>
      <c r="W12" s="23">
        <v>1.85624915926487</v>
      </c>
      <c r="X12" s="23">
        <v>1.04613347239407</v>
      </c>
      <c r="Y12" s="23">
        <v>0.905508146807336</v>
      </c>
      <c r="Z12">
        <f t="shared" si="0"/>
        <v>4.01611717547406</v>
      </c>
      <c r="AA12">
        <f>W12-S12</f>
        <v>4.02893767758796</v>
      </c>
      <c r="AB12">
        <f>X12-T12</f>
        <v>3.01118084019252</v>
      </c>
      <c r="AC12">
        <f>Y12-U12</f>
        <v>2.61071011117579</v>
      </c>
    </row>
    <row r="13" spans="1:29">
      <c r="A13" s="3" t="s">
        <v>51</v>
      </c>
      <c r="B13" s="3" t="s">
        <v>52</v>
      </c>
      <c r="C13" s="4" t="str">
        <f>VLOOKUP(A13,Sheet3!A:C,2,FALSE)</f>
        <v>Yancheng</v>
      </c>
      <c r="D13" s="5" t="str">
        <f>VLOOKUP(A13,Sheet3!A:C,3,FALSE)</f>
        <v>Yc</v>
      </c>
      <c r="E13" s="8">
        <v>12</v>
      </c>
      <c r="F13" s="13">
        <v>774.22</v>
      </c>
      <c r="G13" s="14">
        <v>794.6544</v>
      </c>
      <c r="H13" s="14">
        <v>726.024</v>
      </c>
      <c r="I13" s="14">
        <v>670.9629</v>
      </c>
      <c r="J13" s="13">
        <v>1633.83</v>
      </c>
      <c r="K13" s="14">
        <v>1745.6</v>
      </c>
      <c r="L13" s="14">
        <v>1997.55</v>
      </c>
      <c r="M13" s="21">
        <v>1835.51</v>
      </c>
      <c r="N13" s="14">
        <v>104.41</v>
      </c>
      <c r="O13" s="14">
        <v>529.48</v>
      </c>
      <c r="P13" s="14">
        <v>2315.71</v>
      </c>
      <c r="Q13" s="14">
        <v>5918.38</v>
      </c>
      <c r="R13" s="23">
        <v>-1.77323507947881</v>
      </c>
      <c r="S13" s="23">
        <v>-1.50243694678301</v>
      </c>
      <c r="T13" s="23">
        <v>-1.34791383529225</v>
      </c>
      <c r="U13" s="23">
        <v>-0.931694137689077</v>
      </c>
      <c r="V13" s="23">
        <v>1.43883819535544</v>
      </c>
      <c r="W13" s="23">
        <v>1.74307815570938</v>
      </c>
      <c r="X13" s="23">
        <v>1.06569086645024</v>
      </c>
      <c r="Y13" s="23">
        <v>0.450675074267949</v>
      </c>
      <c r="Z13">
        <f t="shared" si="0"/>
        <v>3.21207327483425</v>
      </c>
      <c r="AA13">
        <f>W13-S13</f>
        <v>3.24551510249239</v>
      </c>
      <c r="AB13">
        <f>X13-T13</f>
        <v>2.41360470174249</v>
      </c>
      <c r="AC13">
        <f>Y13-U13</f>
        <v>1.38236921195703</v>
      </c>
    </row>
    <row r="14" customHeight="1" spans="1:29">
      <c r="A14" s="3" t="s">
        <v>53</v>
      </c>
      <c r="B14" s="3" t="s">
        <v>54</v>
      </c>
      <c r="C14" s="4" t="str">
        <f>VLOOKUP(A14,Sheet3!A:C,2,FALSE)</f>
        <v>Yangzhou</v>
      </c>
      <c r="D14" s="5" t="str">
        <f>VLOOKUP(A14,Sheet3!A:C,3,FALSE)</f>
        <v>Yz</v>
      </c>
      <c r="E14" s="8">
        <v>13</v>
      </c>
      <c r="F14" s="13">
        <v>430.64</v>
      </c>
      <c r="G14" s="14">
        <v>458.8554</v>
      </c>
      <c r="H14" s="14">
        <v>445.976</v>
      </c>
      <c r="I14" s="14">
        <v>455.9797</v>
      </c>
      <c r="J14" s="13">
        <v>614</v>
      </c>
      <c r="K14" s="14">
        <v>737.88</v>
      </c>
      <c r="L14" s="14">
        <v>1049.77</v>
      </c>
      <c r="M14" s="21">
        <v>1156.05</v>
      </c>
      <c r="N14" s="14">
        <v>89.05</v>
      </c>
      <c r="O14" s="14">
        <v>472.12</v>
      </c>
      <c r="P14" s="14">
        <v>2257.02</v>
      </c>
      <c r="Q14" s="14">
        <v>6013.33</v>
      </c>
      <c r="R14" s="23">
        <v>0.118246291049724</v>
      </c>
      <c r="S14" s="23">
        <v>-0.00258431845667276</v>
      </c>
      <c r="T14" s="23">
        <v>-0.409538269862976</v>
      </c>
      <c r="U14" s="23">
        <v>-0.444845958735057</v>
      </c>
      <c r="V14" s="23">
        <v>-0.0630012121808118</v>
      </c>
      <c r="W14" s="23">
        <v>0.269599635789325</v>
      </c>
      <c r="X14" s="23">
        <v>-0.174860352367457</v>
      </c>
      <c r="Y14" s="23">
        <v>-0.501850163971838</v>
      </c>
      <c r="Z14">
        <f t="shared" si="0"/>
        <v>-0.181247503230536</v>
      </c>
      <c r="AA14">
        <f>W14-S14</f>
        <v>0.272183954245998</v>
      </c>
      <c r="AB14">
        <f>X14-T14</f>
        <v>0.234677917495519</v>
      </c>
      <c r="AC14">
        <f>Y14-U14</f>
        <v>-0.057004205236781</v>
      </c>
    </row>
    <row r="15" spans="1:29">
      <c r="A15" s="3" t="s">
        <v>55</v>
      </c>
      <c r="B15" s="3" t="s">
        <v>56</v>
      </c>
      <c r="C15" s="4" t="str">
        <f>VLOOKUP(A15,Sheet3!A:C,2,FALSE)</f>
        <v>Zhenjiang</v>
      </c>
      <c r="D15" s="5" t="str">
        <f>VLOOKUP(A15,Sheet3!A:C,3,FALSE)</f>
        <v>Zj</v>
      </c>
      <c r="E15" s="8">
        <v>14</v>
      </c>
      <c r="F15" s="15">
        <v>260.42</v>
      </c>
      <c r="G15" s="16">
        <v>284.4856</v>
      </c>
      <c r="H15" s="16">
        <v>311.3384</v>
      </c>
      <c r="I15" s="16">
        <v>321.0418</v>
      </c>
      <c r="J15" s="15">
        <v>332.31</v>
      </c>
      <c r="K15" s="16">
        <v>528.03</v>
      </c>
      <c r="L15" s="16">
        <v>731.38</v>
      </c>
      <c r="M15" s="22">
        <v>836</v>
      </c>
      <c r="N15" s="16">
        <v>65.32</v>
      </c>
      <c r="O15" s="16">
        <v>423.25</v>
      </c>
      <c r="P15" s="16">
        <v>2019.22</v>
      </c>
      <c r="Q15" s="16">
        <v>4185.09</v>
      </c>
      <c r="R15" s="23">
        <v>0.217618125172167</v>
      </c>
      <c r="S15" s="23">
        <v>-0.227555744387422</v>
      </c>
      <c r="T15" s="23">
        <v>-0.282429974669562</v>
      </c>
      <c r="U15" s="23">
        <v>-0.358682697035496</v>
      </c>
      <c r="V15" s="23">
        <v>-0.357759727512626</v>
      </c>
      <c r="W15" s="23">
        <v>-0.411006014748472</v>
      </c>
      <c r="X15" s="23">
        <v>-0.562962496631536</v>
      </c>
      <c r="Y15" s="23">
        <v>-0.333566500315349</v>
      </c>
      <c r="Z15">
        <f t="shared" si="0"/>
        <v>-0.575377852684793</v>
      </c>
      <c r="AA15">
        <f>W15-S15</f>
        <v>-0.18345027036105</v>
      </c>
      <c r="AB15">
        <f>X15-T15</f>
        <v>-0.280532521961974</v>
      </c>
      <c r="AC15">
        <f>Y15-U15</f>
        <v>0.025116196720147</v>
      </c>
    </row>
    <row r="16" spans="1:29">
      <c r="A16" s="3" t="s">
        <v>57</v>
      </c>
      <c r="B16" s="3" t="s">
        <v>58</v>
      </c>
      <c r="C16" s="4" t="str">
        <f>VLOOKUP(A16,Sheet3!A:C,2,FALSE)</f>
        <v>Hangzhou</v>
      </c>
      <c r="D16" s="5" t="str">
        <f>VLOOKUP(A16,Sheet3!A:C,3,FALSE)</f>
        <v>Hz</v>
      </c>
      <c r="E16" s="8">
        <v>15</v>
      </c>
      <c r="F16" s="13">
        <v>583.2183</v>
      </c>
      <c r="G16" s="14">
        <v>687.8722</v>
      </c>
      <c r="H16" s="14">
        <v>870.0373</v>
      </c>
      <c r="I16" s="14">
        <v>1193.601</v>
      </c>
      <c r="J16" s="13">
        <v>462.66</v>
      </c>
      <c r="K16" s="14">
        <v>547.13</v>
      </c>
      <c r="L16" s="14">
        <v>915.88</v>
      </c>
      <c r="M16" s="21">
        <v>1259.93</v>
      </c>
      <c r="N16" s="14">
        <v>189.62</v>
      </c>
      <c r="O16" s="14">
        <v>1395.67</v>
      </c>
      <c r="P16" s="14">
        <v>6049.56</v>
      </c>
      <c r="Q16" s="14">
        <v>16206.82</v>
      </c>
      <c r="R16" s="23">
        <v>1.54239583602041</v>
      </c>
      <c r="S16" s="23">
        <v>1.78650096462641</v>
      </c>
      <c r="T16" s="23">
        <v>1.87334344588869</v>
      </c>
      <c r="U16" s="23">
        <v>2.47694788467269</v>
      </c>
      <c r="V16" s="23">
        <v>-2.00900756137864</v>
      </c>
      <c r="W16" s="23">
        <v>-2.64256123899318</v>
      </c>
      <c r="X16" s="23">
        <v>-1.97757129348309</v>
      </c>
      <c r="Y16" s="23">
        <v>-1.50277417748727</v>
      </c>
      <c r="Z16">
        <f t="shared" si="0"/>
        <v>-3.55140339739905</v>
      </c>
      <c r="AA16">
        <f>W16-S16</f>
        <v>-4.42906220361959</v>
      </c>
      <c r="AB16">
        <f>X16-T16</f>
        <v>-3.85091473937178</v>
      </c>
      <c r="AC16">
        <f>Y16-U16</f>
        <v>-3.97972206215996</v>
      </c>
    </row>
    <row r="17" customHeight="1" spans="1:29">
      <c r="A17" s="3" t="s">
        <v>59</v>
      </c>
      <c r="B17" s="3" t="s">
        <v>60</v>
      </c>
      <c r="C17" s="4" t="str">
        <f>VLOOKUP(A17,Sheet3!A:C,2,FALSE)</f>
        <v>Huzhou</v>
      </c>
      <c r="D17" s="5" t="str">
        <f>VLOOKUP(A17,Sheet3!A:C,3,FALSE)</f>
        <v>Hu</v>
      </c>
      <c r="E17" s="8">
        <v>16</v>
      </c>
      <c r="F17" s="13">
        <v>244.9946</v>
      </c>
      <c r="G17" s="14">
        <v>262.5595</v>
      </c>
      <c r="H17" s="14">
        <v>289.3542</v>
      </c>
      <c r="I17" s="14">
        <v>336.7579</v>
      </c>
      <c r="J17" s="13">
        <v>226.56</v>
      </c>
      <c r="K17" s="14">
        <v>253.54</v>
      </c>
      <c r="L17" s="14">
        <v>415.82</v>
      </c>
      <c r="M17" s="21">
        <v>586.33</v>
      </c>
      <c r="N17" s="14">
        <v>54.991</v>
      </c>
      <c r="O17" s="14">
        <v>325.23</v>
      </c>
      <c r="P17" s="14">
        <v>1385.48</v>
      </c>
      <c r="Q17" s="14">
        <v>3203.9</v>
      </c>
      <c r="R17" s="23">
        <v>0.527229473992242</v>
      </c>
      <c r="S17" s="23">
        <v>0.538740633360073</v>
      </c>
      <c r="T17" s="23">
        <v>0.360493624735528</v>
      </c>
      <c r="U17" s="23">
        <v>0.222876959624387</v>
      </c>
      <c r="V17" s="23">
        <v>-0.15651923645064</v>
      </c>
      <c r="W17" s="23">
        <v>-0.0896811412723419</v>
      </c>
      <c r="X17" s="23">
        <v>-0.0350300680670896</v>
      </c>
      <c r="Y17" s="23">
        <v>0.131452140904739</v>
      </c>
      <c r="Z17">
        <f t="shared" si="0"/>
        <v>-0.683748710442882</v>
      </c>
      <c r="AA17">
        <f>W17-S17</f>
        <v>-0.628421774632415</v>
      </c>
      <c r="AB17">
        <f>X17-T17</f>
        <v>-0.395523692802618</v>
      </c>
      <c r="AC17">
        <f>Y17-U17</f>
        <v>-0.091424818719648</v>
      </c>
    </row>
    <row r="18" spans="1:29">
      <c r="A18" s="3" t="s">
        <v>61</v>
      </c>
      <c r="B18" s="3" t="s">
        <v>62</v>
      </c>
      <c r="C18" s="4" t="str">
        <f>VLOOKUP(A18,Sheet3!A:C,2,FALSE)</f>
        <v>Jiaxing</v>
      </c>
      <c r="D18" s="5" t="str">
        <f>VLOOKUP(A18,Sheet3!A:C,3,FALSE)</f>
        <v>Jx</v>
      </c>
      <c r="E18" s="8">
        <v>17</v>
      </c>
      <c r="F18" s="13">
        <v>316.3087</v>
      </c>
      <c r="G18" s="14">
        <v>358.2996</v>
      </c>
      <c r="H18" s="14">
        <v>450.1657</v>
      </c>
      <c r="I18" s="14">
        <v>540.0868</v>
      </c>
      <c r="J18" s="13">
        <v>616.64</v>
      </c>
      <c r="K18" s="14">
        <v>682.1</v>
      </c>
      <c r="L18" s="14">
        <v>1052.36</v>
      </c>
      <c r="M18" s="21">
        <v>1317.72</v>
      </c>
      <c r="N18" s="14">
        <v>81.33</v>
      </c>
      <c r="O18" s="14">
        <v>524.03</v>
      </c>
      <c r="P18" s="14">
        <v>2357.22</v>
      </c>
      <c r="Q18" s="14">
        <v>5563.58</v>
      </c>
      <c r="R18" s="23">
        <v>-0.533865409265713</v>
      </c>
      <c r="S18" s="23">
        <v>-0.341251037939636</v>
      </c>
      <c r="T18" s="23">
        <v>-0.396219868348396</v>
      </c>
      <c r="U18" s="23">
        <v>-0.420582755410379</v>
      </c>
      <c r="V18" s="23">
        <v>-0.490050286401819</v>
      </c>
      <c r="W18" s="23">
        <v>-0.477616801726911</v>
      </c>
      <c r="X18" s="23">
        <v>-0.255020560235729</v>
      </c>
      <c r="Y18" s="23">
        <v>0.0382520759031037</v>
      </c>
      <c r="Z18">
        <f t="shared" si="0"/>
        <v>0.043815122863894</v>
      </c>
      <c r="AA18">
        <f>W18-S18</f>
        <v>-0.136365763787275</v>
      </c>
      <c r="AB18">
        <f>X18-T18</f>
        <v>0.141199308112667</v>
      </c>
      <c r="AC18">
        <f>Y18-U18</f>
        <v>0.458834831313483</v>
      </c>
    </row>
    <row r="19" spans="1:29">
      <c r="A19" s="3" t="s">
        <v>63</v>
      </c>
      <c r="B19" s="3" t="s">
        <v>64</v>
      </c>
      <c r="C19" s="4" t="str">
        <f>VLOOKUP(A19,Sheet3!A:C,2,FALSE)</f>
        <v>Jinhua</v>
      </c>
      <c r="D19" s="5" t="str">
        <f>VLOOKUP(A19,Sheet3!A:C,3,FALSE)</f>
        <v>Jh</v>
      </c>
      <c r="E19" s="8">
        <v>18</v>
      </c>
      <c r="F19" s="13">
        <v>412.0009</v>
      </c>
      <c r="G19" s="14">
        <v>457.1881</v>
      </c>
      <c r="H19" s="14">
        <v>536.1572</v>
      </c>
      <c r="I19" s="14">
        <v>705.0683</v>
      </c>
      <c r="J19" s="13">
        <v>239.48</v>
      </c>
      <c r="K19" s="14">
        <v>275.98</v>
      </c>
      <c r="L19" s="14">
        <v>692.56</v>
      </c>
      <c r="M19" s="21">
        <v>929.97</v>
      </c>
      <c r="N19" s="14">
        <v>74.6435</v>
      </c>
      <c r="O19" s="14">
        <v>509.3495</v>
      </c>
      <c r="P19" s="14">
        <v>2101.1262</v>
      </c>
      <c r="Q19" s="14">
        <v>4705.8331</v>
      </c>
      <c r="R19" s="23">
        <v>1.41692075699843</v>
      </c>
      <c r="S19" s="23">
        <v>1.46814238994411</v>
      </c>
      <c r="T19" s="23">
        <v>0.851933519397603</v>
      </c>
      <c r="U19" s="23">
        <v>1.08025066442604</v>
      </c>
      <c r="V19" s="23">
        <v>0.233834574212808</v>
      </c>
      <c r="W19" s="23">
        <v>0.0961352474669844</v>
      </c>
      <c r="X19" s="23">
        <v>0.398355803048888</v>
      </c>
      <c r="Y19" s="23">
        <v>1.08776796432099</v>
      </c>
      <c r="Z19">
        <f t="shared" si="0"/>
        <v>-1.18308618278562</v>
      </c>
      <c r="AA19">
        <f>W19-S19</f>
        <v>-1.37200714247713</v>
      </c>
      <c r="AB19">
        <f>X19-T19</f>
        <v>-0.453577716348715</v>
      </c>
      <c r="AC19">
        <f>Y19-U19</f>
        <v>0.0075172998949502</v>
      </c>
    </row>
    <row r="20" spans="1:29">
      <c r="A20" s="3" t="s">
        <v>65</v>
      </c>
      <c r="B20" s="3" t="s">
        <v>66</v>
      </c>
      <c r="C20" s="4" t="str">
        <f>VLOOKUP(A20,Sheet3!A:C,2,FALSE)</f>
        <v>Lishui</v>
      </c>
      <c r="D20" s="5" t="str">
        <f>VLOOKUP(A20,Sheet3!A:C,3,FALSE)</f>
        <v>Ls</v>
      </c>
      <c r="E20" s="8">
        <v>19</v>
      </c>
      <c r="F20" s="13">
        <v>234.9139</v>
      </c>
      <c r="G20" s="14">
        <v>216.2113</v>
      </c>
      <c r="H20" s="14">
        <v>211.6957</v>
      </c>
      <c r="I20" s="14">
        <v>250.7396</v>
      </c>
      <c r="J20" s="13">
        <v>72.04</v>
      </c>
      <c r="K20" s="14">
        <v>73.25</v>
      </c>
      <c r="L20" s="14">
        <v>211.25</v>
      </c>
      <c r="M20" s="21">
        <v>377.91</v>
      </c>
      <c r="N20" s="14">
        <v>26.4543</v>
      </c>
      <c r="O20" s="14">
        <v>136.7613</v>
      </c>
      <c r="P20" s="14">
        <v>641.9304</v>
      </c>
      <c r="Q20" s="14">
        <v>1527.751</v>
      </c>
      <c r="R20" s="23">
        <v>1.04961028802047</v>
      </c>
      <c r="S20" s="23">
        <v>0.877707562826936</v>
      </c>
      <c r="T20" s="23">
        <v>0.483200347333393</v>
      </c>
      <c r="U20" s="23">
        <v>0.286872618781094</v>
      </c>
      <c r="V20" s="23">
        <v>0.58222456548314</v>
      </c>
      <c r="W20" s="23">
        <v>0.506595126230084</v>
      </c>
      <c r="X20" s="23">
        <v>0.343824148115758</v>
      </c>
      <c r="Y20" s="23">
        <v>0.445991187420805</v>
      </c>
      <c r="Z20">
        <f t="shared" si="0"/>
        <v>-0.46738572253733</v>
      </c>
      <c r="AA20">
        <f>W20-S20</f>
        <v>-0.371112436596852</v>
      </c>
      <c r="AB20">
        <f>X20-T20</f>
        <v>-0.139376199217635</v>
      </c>
      <c r="AC20">
        <f>Y20-U20</f>
        <v>0.159118568639711</v>
      </c>
    </row>
    <row r="21" spans="1:29">
      <c r="A21" s="3" t="s">
        <v>67</v>
      </c>
      <c r="B21" s="3" t="s">
        <v>68</v>
      </c>
      <c r="C21" s="4" t="str">
        <f>VLOOKUP(A21,Sheet3!A:C,2,FALSE)</f>
        <v>Ningbo</v>
      </c>
      <c r="D21" s="5" t="str">
        <f>VLOOKUP(A21,Sheet3!A:C,3,FALSE)</f>
        <v>Nb</v>
      </c>
      <c r="E21" s="8">
        <v>20</v>
      </c>
      <c r="F21" s="13">
        <v>509.0897</v>
      </c>
      <c r="G21" s="14">
        <v>596.3362</v>
      </c>
      <c r="H21" s="14">
        <v>760.5689</v>
      </c>
      <c r="I21" s="14">
        <v>940.4283</v>
      </c>
      <c r="J21" s="13">
        <v>430.17</v>
      </c>
      <c r="K21" s="14">
        <v>655.52</v>
      </c>
      <c r="L21" s="14">
        <v>1242.73</v>
      </c>
      <c r="M21" s="21">
        <v>1555.63</v>
      </c>
      <c r="N21" s="14">
        <v>141.4003</v>
      </c>
      <c r="O21" s="14">
        <v>1144.5653</v>
      </c>
      <c r="P21" s="14">
        <v>5264.69560272893</v>
      </c>
      <c r="Q21" s="14">
        <v>12599.2174580916</v>
      </c>
      <c r="R21" s="23">
        <v>1.24774640115734</v>
      </c>
      <c r="S21" s="23">
        <v>0.968457624552013</v>
      </c>
      <c r="T21" s="23">
        <v>0.594081679187091</v>
      </c>
      <c r="U21" s="23">
        <v>0.790952695049803</v>
      </c>
      <c r="V21" s="23">
        <v>-1.08143179887374</v>
      </c>
      <c r="W21" s="23">
        <v>-2.00134354798859</v>
      </c>
      <c r="X21" s="23">
        <v>-1.70518971132731</v>
      </c>
      <c r="Y21" s="23">
        <v>-1.11503063522998</v>
      </c>
      <c r="Z21">
        <f t="shared" si="0"/>
        <v>-2.32917820003108</v>
      </c>
      <c r="AA21">
        <f>W21-S21</f>
        <v>-2.9698011725406</v>
      </c>
      <c r="AB21">
        <f>X21-T21</f>
        <v>-2.2992713905144</v>
      </c>
      <c r="AC21">
        <f>Y21-U21</f>
        <v>-1.90598333027978</v>
      </c>
    </row>
    <row r="22" spans="1:29">
      <c r="A22" s="3" t="s">
        <v>69</v>
      </c>
      <c r="B22" s="3" t="s">
        <v>70</v>
      </c>
      <c r="C22" s="4" t="str">
        <f>VLOOKUP(A22,Sheet3!A:C,2,FALSE)</f>
        <v>Quzhou</v>
      </c>
      <c r="D22" s="5" t="str">
        <f>VLOOKUP(A22,Sheet3!A:C,3,FALSE)</f>
        <v>Qz</v>
      </c>
      <c r="E22" s="8">
        <v>21</v>
      </c>
      <c r="F22" s="13">
        <v>226.0222</v>
      </c>
      <c r="G22" s="14">
        <v>212.8856</v>
      </c>
      <c r="H22" s="14">
        <v>212.2661</v>
      </c>
      <c r="I22" s="14">
        <v>227.6184</v>
      </c>
      <c r="J22" s="13">
        <v>93.13</v>
      </c>
      <c r="K22" s="14">
        <v>88.35</v>
      </c>
      <c r="L22" s="14">
        <v>233.21</v>
      </c>
      <c r="M22" s="21">
        <v>355.6</v>
      </c>
      <c r="N22" s="14">
        <v>36.8124</v>
      </c>
      <c r="O22" s="14">
        <v>155.2321</v>
      </c>
      <c r="P22" s="14">
        <v>752.1154</v>
      </c>
      <c r="Q22" s="14">
        <v>1627.236</v>
      </c>
      <c r="R22" s="23">
        <v>0.920637138096867</v>
      </c>
      <c r="S22" s="23">
        <v>0.812238439358567</v>
      </c>
      <c r="T22" s="23">
        <v>0.434008721897108</v>
      </c>
      <c r="U22" s="23">
        <v>0.234570325331645</v>
      </c>
      <c r="V22" s="23">
        <v>0.243579520949413</v>
      </c>
      <c r="W22" s="23">
        <v>0.407680095004723</v>
      </c>
      <c r="X22" s="23">
        <v>0.236952883738848</v>
      </c>
      <c r="Y22" s="23">
        <v>0.307317869509275</v>
      </c>
      <c r="Z22">
        <f t="shared" si="0"/>
        <v>-0.677057617147454</v>
      </c>
      <c r="AA22">
        <f>W22-S22</f>
        <v>-0.404558344353844</v>
      </c>
      <c r="AB22">
        <f>X22-T22</f>
        <v>-0.19705583815826</v>
      </c>
      <c r="AC22">
        <f>Y22-U22</f>
        <v>0.07274754417763</v>
      </c>
    </row>
    <row r="23" spans="1:29">
      <c r="A23" s="3" t="s">
        <v>71</v>
      </c>
      <c r="B23" s="3" t="s">
        <v>72</v>
      </c>
      <c r="C23" s="4" t="str">
        <f>VLOOKUP(A23,Sheet3!A:C,2,FALSE)</f>
        <v>Shaoxing</v>
      </c>
      <c r="D23" s="5" t="str">
        <f>VLOOKUP(A23,Sheet3!A:C,3,FALSE)</f>
        <v>Sx</v>
      </c>
      <c r="E23" s="8">
        <v>22</v>
      </c>
      <c r="F23" s="13">
        <v>399.7106</v>
      </c>
      <c r="G23" s="14">
        <v>430.4241</v>
      </c>
      <c r="H23" s="14">
        <v>491.2239</v>
      </c>
      <c r="I23" s="14">
        <v>527.0977</v>
      </c>
      <c r="J23" s="13">
        <v>260.38</v>
      </c>
      <c r="K23" s="14">
        <v>335.06</v>
      </c>
      <c r="L23" s="14">
        <v>648.83</v>
      </c>
      <c r="M23" s="21">
        <v>833.47</v>
      </c>
      <c r="N23" s="14">
        <v>82.3755</v>
      </c>
      <c r="O23" s="14">
        <v>716.8454</v>
      </c>
      <c r="P23" s="14">
        <v>2811.7467</v>
      </c>
      <c r="Q23" s="14">
        <v>5963.7551</v>
      </c>
      <c r="R23" s="23">
        <v>1.26956901912041</v>
      </c>
      <c r="S23" s="23">
        <v>1.14124208531817</v>
      </c>
      <c r="T23" s="23">
        <v>0.746755106547331</v>
      </c>
      <c r="U23" s="23">
        <v>0.522570485550246</v>
      </c>
      <c r="V23" s="23">
        <v>-0.0507069062651112</v>
      </c>
      <c r="W23" s="23">
        <v>-0.960537817551966</v>
      </c>
      <c r="X23" s="23">
        <v>-0.516359700809753</v>
      </c>
      <c r="Y23" s="23">
        <v>-0.179376001553888</v>
      </c>
      <c r="Z23">
        <f t="shared" si="0"/>
        <v>-1.32027592538552</v>
      </c>
      <c r="AA23">
        <f>W23-S23</f>
        <v>-2.10177990287014</v>
      </c>
      <c r="AB23">
        <f>X23-T23</f>
        <v>-1.26311480735708</v>
      </c>
      <c r="AC23">
        <f>Y23-U23</f>
        <v>-0.701946487104134</v>
      </c>
    </row>
    <row r="24" spans="1:29">
      <c r="A24" s="3" t="s">
        <v>73</v>
      </c>
      <c r="B24" s="3" t="s">
        <v>74</v>
      </c>
      <c r="C24" s="4" t="str">
        <f>VLOOKUP(A24,Sheet3!A:C,2,FALSE)</f>
        <v>Taizhou</v>
      </c>
      <c r="D24" s="5" t="str">
        <f>VLOOKUP(A24,Sheet3!A:C,3,FALSE)</f>
        <v>Tzh</v>
      </c>
      <c r="E24" s="8">
        <v>23</v>
      </c>
      <c r="F24" s="13">
        <v>487.634</v>
      </c>
      <c r="G24" s="14">
        <v>515.3715</v>
      </c>
      <c r="H24" s="14">
        <v>596.8838</v>
      </c>
      <c r="I24" s="14">
        <v>662.2888</v>
      </c>
      <c r="J24" s="13">
        <v>157.88</v>
      </c>
      <c r="K24" s="14">
        <v>221.02</v>
      </c>
      <c r="L24" s="14">
        <v>422.24</v>
      </c>
      <c r="M24" s="21">
        <v>780.47</v>
      </c>
      <c r="N24" s="14">
        <v>78.91</v>
      </c>
      <c r="O24" s="14">
        <v>613.31</v>
      </c>
      <c r="P24" s="14">
        <v>2451.68</v>
      </c>
      <c r="Q24" s="14">
        <v>5238.39</v>
      </c>
      <c r="R24" s="23">
        <v>2.14753083662455</v>
      </c>
      <c r="S24" s="23">
        <v>1.94348526554732</v>
      </c>
      <c r="T24" s="23">
        <v>1.77168624100624</v>
      </c>
      <c r="U24" s="23">
        <v>1.20659900620939</v>
      </c>
      <c r="V24" s="23">
        <v>0.539764186813179</v>
      </c>
      <c r="W24" s="23">
        <v>-0.0649735734600972</v>
      </c>
      <c r="X24" s="23">
        <v>0.331582692057493</v>
      </c>
      <c r="Y24" s="23">
        <v>0.689762064075038</v>
      </c>
      <c r="Z24">
        <f t="shared" si="0"/>
        <v>-1.60776664981137</v>
      </c>
      <c r="AA24">
        <f>W24-S24</f>
        <v>-2.00845883900742</v>
      </c>
      <c r="AB24">
        <f>X24-T24</f>
        <v>-1.44010354894875</v>
      </c>
      <c r="AC24">
        <f>Y24-U24</f>
        <v>-0.516836942134352</v>
      </c>
    </row>
    <row r="25" spans="1:29">
      <c r="A25" s="3" t="s">
        <v>75</v>
      </c>
      <c r="B25" s="3" t="s">
        <v>76</v>
      </c>
      <c r="C25" s="4" t="str">
        <f>VLOOKUP(A25,Sheet3!A:C,2,FALSE)</f>
        <v>Wenzhou</v>
      </c>
      <c r="D25" s="5" t="str">
        <f>VLOOKUP(A25,Sheet3!A:C,3,FALSE)</f>
        <v>Wz</v>
      </c>
      <c r="E25" s="8">
        <v>24</v>
      </c>
      <c r="F25" s="13">
        <v>633.0875</v>
      </c>
      <c r="G25" s="14">
        <v>755.764</v>
      </c>
      <c r="H25" s="14">
        <v>912.2102</v>
      </c>
      <c r="I25" s="14">
        <v>957.2903</v>
      </c>
      <c r="J25" s="13">
        <v>263.49</v>
      </c>
      <c r="K25" s="14">
        <v>304.92</v>
      </c>
      <c r="L25" s="14">
        <v>594.51</v>
      </c>
      <c r="M25" s="21">
        <v>859.36</v>
      </c>
      <c r="N25" s="14">
        <v>77.8977</v>
      </c>
      <c r="O25" s="14">
        <v>822.0172</v>
      </c>
      <c r="P25" s="14">
        <v>2943.714</v>
      </c>
      <c r="Q25" s="14">
        <v>6850.4791</v>
      </c>
      <c r="R25" s="23">
        <v>2.5688350962588</v>
      </c>
      <c r="S25" s="23">
        <v>2.91148508417848</v>
      </c>
      <c r="T25" s="23">
        <v>2.82754753925069</v>
      </c>
      <c r="U25" s="23">
        <v>2.29813707285935</v>
      </c>
      <c r="V25" s="23">
        <v>1.38501703082271</v>
      </c>
      <c r="W25" s="23">
        <v>0.247378498208686</v>
      </c>
      <c r="X25" s="23">
        <v>1.30504183529872</v>
      </c>
      <c r="Y25" s="23">
        <v>1.2897032150601</v>
      </c>
      <c r="Z25">
        <f t="shared" si="0"/>
        <v>-1.18381806543609</v>
      </c>
      <c r="AA25">
        <f>W25-S25</f>
        <v>-2.66410658596979</v>
      </c>
      <c r="AB25">
        <f>X25-T25</f>
        <v>-1.52250570395197</v>
      </c>
      <c r="AC25">
        <f>Y25-U25</f>
        <v>-1.00843385779925</v>
      </c>
    </row>
    <row r="26" spans="1:29">
      <c r="A26" s="3" t="s">
        <v>77</v>
      </c>
      <c r="B26" s="3" t="s">
        <v>78</v>
      </c>
      <c r="C26" s="4" t="str">
        <f>VLOOKUP(A26,Sheet3!A:C,2,FALSE)</f>
        <v>Zhoushan</v>
      </c>
      <c r="D26" s="5" t="str">
        <f>VLOOKUP(A26,Sheet3!A:C,3,FALSE)</f>
        <v>Zs</v>
      </c>
      <c r="E26" s="8">
        <v>25</v>
      </c>
      <c r="F26" s="15">
        <v>97.6126</v>
      </c>
      <c r="G26" s="16">
        <v>100.153</v>
      </c>
      <c r="H26" s="16">
        <v>112.1261</v>
      </c>
      <c r="I26" s="16">
        <v>115.7817</v>
      </c>
      <c r="J26" s="15">
        <v>80.77</v>
      </c>
      <c r="K26" s="16">
        <v>80.9</v>
      </c>
      <c r="L26" s="16">
        <v>127.34</v>
      </c>
      <c r="M26" s="22">
        <v>289.01</v>
      </c>
      <c r="N26" s="16">
        <v>24.5697</v>
      </c>
      <c r="O26" s="16">
        <v>121.5702</v>
      </c>
      <c r="P26" s="16">
        <v>609.4431</v>
      </c>
      <c r="Q26" s="16">
        <v>1510.4919</v>
      </c>
      <c r="R26" s="23">
        <v>0.245652007015456</v>
      </c>
      <c r="S26" s="23">
        <v>0.256143935465582</v>
      </c>
      <c r="T26" s="23">
        <v>0.219460348303537</v>
      </c>
      <c r="U26" s="23">
        <v>-0.103609944471236</v>
      </c>
      <c r="V26" s="23">
        <v>-0.136494131781585</v>
      </c>
      <c r="W26" s="23">
        <v>-0.0231878699834293</v>
      </c>
      <c r="X26" s="23">
        <v>-0.0856974313642688</v>
      </c>
      <c r="Y26" s="23">
        <v>-0.120771693346935</v>
      </c>
      <c r="Z26">
        <f t="shared" si="0"/>
        <v>-0.382146138797041</v>
      </c>
      <c r="AA26">
        <f>W26-S26</f>
        <v>-0.279331805449011</v>
      </c>
      <c r="AB26">
        <f>X26-T26</f>
        <v>-0.305157779667806</v>
      </c>
      <c r="AC26">
        <f>Y26-U26</f>
        <v>-0.017161748875699</v>
      </c>
    </row>
    <row r="27" spans="1:29">
      <c r="A27" s="3" t="s">
        <v>79</v>
      </c>
      <c r="B27" s="3" t="s">
        <v>80</v>
      </c>
      <c r="C27" s="4" t="str">
        <f>VLOOKUP(A27,Sheet3!A:C,2,FALSE)</f>
        <v>Anqing</v>
      </c>
      <c r="D27" s="5" t="str">
        <f>VLOOKUP(A27,Sheet3!A:C,3,FALSE)</f>
        <v>Aq</v>
      </c>
      <c r="E27" s="8">
        <v>26</v>
      </c>
      <c r="F27" s="13">
        <v>468.1336</v>
      </c>
      <c r="G27" s="14">
        <v>442.2049</v>
      </c>
      <c r="H27" s="14">
        <v>447.2667</v>
      </c>
      <c r="I27" s="14">
        <v>416.5284</v>
      </c>
      <c r="J27" s="13">
        <v>451.45</v>
      </c>
      <c r="K27" s="14">
        <v>488.15</v>
      </c>
      <c r="L27" s="14">
        <v>649.14</v>
      </c>
      <c r="M27" s="21">
        <v>718.15</v>
      </c>
      <c r="N27" s="14">
        <v>52.8624</v>
      </c>
      <c r="O27" s="14">
        <v>254.8429</v>
      </c>
      <c r="P27" s="14">
        <v>937.655</v>
      </c>
      <c r="Q27" s="14">
        <v>2381.4536</v>
      </c>
      <c r="R27" s="23">
        <v>0.937949848105191</v>
      </c>
      <c r="S27" s="23">
        <v>0.711554828060587</v>
      </c>
      <c r="T27" s="23">
        <v>0.542146287562825</v>
      </c>
      <c r="U27" s="23">
        <v>0.290244904657565</v>
      </c>
      <c r="V27" s="23">
        <v>1.15622018429903</v>
      </c>
      <c r="W27" s="23">
        <v>1.14624654586057</v>
      </c>
      <c r="X27" s="23">
        <v>1.14249024140908</v>
      </c>
      <c r="Y27" s="23">
        <v>0.804371199098014</v>
      </c>
      <c r="Z27">
        <f t="shared" si="0"/>
        <v>0.218270336193839</v>
      </c>
      <c r="AA27">
        <f>W27-S27</f>
        <v>0.434691717799983</v>
      </c>
      <c r="AB27">
        <f>X27-T27</f>
        <v>0.600343953846255</v>
      </c>
      <c r="AC27">
        <f>Y27-U27</f>
        <v>0.514126294440449</v>
      </c>
    </row>
    <row r="28" spans="1:29">
      <c r="A28" s="3" t="s">
        <v>81</v>
      </c>
      <c r="B28" s="3" t="s">
        <v>82</v>
      </c>
      <c r="C28" s="4" t="str">
        <f>VLOOKUP(A28,Sheet3!A:C,2,FALSE)</f>
        <v>Bengbu</v>
      </c>
      <c r="D28" s="5" t="str">
        <f>VLOOKUP(A28,Sheet3!A:C,3,FALSE)</f>
        <v>Bb</v>
      </c>
      <c r="E28" s="8">
        <v>27</v>
      </c>
      <c r="F28" s="13">
        <v>296.7623</v>
      </c>
      <c r="G28" s="14">
        <v>328.8329</v>
      </c>
      <c r="H28" s="14">
        <v>316.4467</v>
      </c>
      <c r="I28" s="14">
        <v>329.6408</v>
      </c>
      <c r="J28" s="13">
        <v>687.5</v>
      </c>
      <c r="K28" s="14">
        <v>729.08</v>
      </c>
      <c r="L28" s="14">
        <v>782.31</v>
      </c>
      <c r="M28" s="21">
        <v>845.23</v>
      </c>
      <c r="N28" s="14">
        <v>42.5739</v>
      </c>
      <c r="O28" s="14">
        <v>179.4194</v>
      </c>
      <c r="P28" s="14">
        <v>672.7364</v>
      </c>
      <c r="Q28" s="14">
        <v>2018.3469</v>
      </c>
      <c r="R28" s="23">
        <v>-0.90918236668016</v>
      </c>
      <c r="S28" s="23">
        <v>-0.643303347871306</v>
      </c>
      <c r="T28" s="23">
        <v>-0.378958937777087</v>
      </c>
      <c r="U28" s="23">
        <v>-0.341153892394088</v>
      </c>
      <c r="V28" s="23">
        <v>0.480355955499529</v>
      </c>
      <c r="W28" s="23">
        <v>0.897048487688879</v>
      </c>
      <c r="X28" s="23">
        <v>0.799048585048744</v>
      </c>
      <c r="Y28" s="23">
        <v>0.582334425795155</v>
      </c>
      <c r="Z28">
        <f t="shared" si="0"/>
        <v>1.38953832217969</v>
      </c>
      <c r="AA28">
        <f>W28-S28</f>
        <v>1.54035183556019</v>
      </c>
      <c r="AB28">
        <f>X28-T28</f>
        <v>1.17800752282583</v>
      </c>
      <c r="AC28">
        <f>Y28-U28</f>
        <v>0.923488318189243</v>
      </c>
    </row>
    <row r="29" spans="1:29">
      <c r="A29" s="3" t="s">
        <v>83</v>
      </c>
      <c r="B29" s="3" t="s">
        <v>84</v>
      </c>
      <c r="C29" s="4" t="str">
        <f>VLOOKUP(A29,Sheet3!A:C,2,FALSE)</f>
        <v>Bozhou</v>
      </c>
      <c r="D29" s="5" t="str">
        <f>VLOOKUP(A29,Sheet3!A:C,3,FALSE)</f>
        <v>Bz</v>
      </c>
      <c r="E29" s="8">
        <v>28</v>
      </c>
      <c r="F29" s="13">
        <v>462.4816</v>
      </c>
      <c r="G29" s="14">
        <v>507.8908</v>
      </c>
      <c r="H29" s="14">
        <v>485.0657</v>
      </c>
      <c r="I29" s="14">
        <v>499.6844</v>
      </c>
      <c r="J29" s="13">
        <v>1343.73</v>
      </c>
      <c r="K29" s="14">
        <v>1422.87</v>
      </c>
      <c r="L29" s="14">
        <v>1499.02</v>
      </c>
      <c r="M29" s="21">
        <v>1624.11</v>
      </c>
      <c r="N29" s="14">
        <v>37.9</v>
      </c>
      <c r="O29" s="14">
        <v>174.56</v>
      </c>
      <c r="P29" s="14">
        <v>582.63</v>
      </c>
      <c r="Q29" s="14">
        <v>1805.96</v>
      </c>
      <c r="R29" s="23">
        <v>-2.43728398975884</v>
      </c>
      <c r="S29" s="23">
        <v>-1.94410449922615</v>
      </c>
      <c r="T29" s="23">
        <v>-1.28870411368955</v>
      </c>
      <c r="U29" s="23">
        <v>-1.22403441021973</v>
      </c>
      <c r="V29" s="23">
        <v>1.5415007535897</v>
      </c>
      <c r="W29" s="23">
        <v>1.83973601288381</v>
      </c>
      <c r="X29" s="23">
        <v>1.67067715479482</v>
      </c>
      <c r="Y29" s="23">
        <v>1.39146117992426</v>
      </c>
      <c r="Z29">
        <f t="shared" si="0"/>
        <v>3.97878474334854</v>
      </c>
      <c r="AA29">
        <f>W29-S29</f>
        <v>3.78384051210996</v>
      </c>
      <c r="AB29">
        <f>X29-T29</f>
        <v>2.95938126848437</v>
      </c>
      <c r="AC29">
        <f>Y29-U29</f>
        <v>2.61549559014399</v>
      </c>
    </row>
    <row r="30" spans="1:29">
      <c r="A30" s="3" t="s">
        <v>85</v>
      </c>
      <c r="B30" s="3" t="s">
        <v>86</v>
      </c>
      <c r="C30" s="4" t="str">
        <f>VLOOKUP(A30,Sheet3!A:C,2,FALSE)</f>
        <v>Chizhou</v>
      </c>
      <c r="D30" s="5" t="str">
        <f>VLOOKUP(A30,Sheet3!A:C,3,FALSE)</f>
        <v>Czh</v>
      </c>
      <c r="E30" s="8">
        <v>29</v>
      </c>
      <c r="F30" s="13">
        <v>146.4428</v>
      </c>
      <c r="G30" s="14">
        <v>138.9469</v>
      </c>
      <c r="H30" s="14">
        <v>140.2518</v>
      </c>
      <c r="I30" s="14">
        <v>134.2764</v>
      </c>
      <c r="J30" s="13">
        <v>128.78</v>
      </c>
      <c r="K30" s="14">
        <v>139.64</v>
      </c>
      <c r="L30" s="14">
        <v>225.87</v>
      </c>
      <c r="M30" s="21">
        <v>275.13</v>
      </c>
      <c r="N30" s="14">
        <v>14.58</v>
      </c>
      <c r="O30" s="14">
        <v>64.2</v>
      </c>
      <c r="P30" s="14">
        <v>312.57</v>
      </c>
      <c r="Q30" s="14">
        <v>853.1</v>
      </c>
      <c r="R30" s="23">
        <v>0.340040425680306</v>
      </c>
      <c r="S30" s="23">
        <v>0.267595955419435</v>
      </c>
      <c r="T30" s="23">
        <v>0.117326836072102</v>
      </c>
      <c r="U30" s="23">
        <v>0.00363574050068847</v>
      </c>
      <c r="V30" s="23">
        <v>0.416224617755292</v>
      </c>
      <c r="W30" s="23">
        <v>0.430476570066019</v>
      </c>
      <c r="X30" s="23">
        <v>0.339824672448398</v>
      </c>
      <c r="Y30" s="23">
        <v>0.224651062664331</v>
      </c>
      <c r="Z30">
        <f t="shared" si="0"/>
        <v>0.076184192074986</v>
      </c>
      <c r="AA30">
        <f>W30-S30</f>
        <v>0.162880614646584</v>
      </c>
      <c r="AB30">
        <f>X30-T30</f>
        <v>0.222497836376296</v>
      </c>
      <c r="AC30">
        <f>Y30-U30</f>
        <v>0.221015322163643</v>
      </c>
    </row>
    <row r="31" spans="1:29">
      <c r="A31" s="3" t="s">
        <v>87</v>
      </c>
      <c r="B31" s="3" t="s">
        <v>88</v>
      </c>
      <c r="C31" s="4" t="str">
        <f>VLOOKUP(A31,Sheet3!A:C,2,FALSE)</f>
        <v>Chuzhou</v>
      </c>
      <c r="D31" s="5" t="str">
        <f>VLOOKUP(A31,Sheet3!A:C,3,FALSE)</f>
        <v>Chz</v>
      </c>
      <c r="E31" s="8">
        <v>30</v>
      </c>
      <c r="F31" s="13">
        <v>380.2597</v>
      </c>
      <c r="G31" s="14">
        <v>400.1488</v>
      </c>
      <c r="H31" s="14">
        <v>393.7868</v>
      </c>
      <c r="I31" s="14">
        <v>398.7054</v>
      </c>
      <c r="J31" s="13">
        <v>889.57</v>
      </c>
      <c r="K31" s="14">
        <v>1082.19</v>
      </c>
      <c r="L31" s="14">
        <v>1209.53</v>
      </c>
      <c r="M31" s="21">
        <v>1389.23</v>
      </c>
      <c r="N31" s="14">
        <v>53.97</v>
      </c>
      <c r="O31" s="14">
        <v>232.91</v>
      </c>
      <c r="P31" s="14">
        <v>837.8</v>
      </c>
      <c r="Q31" s="14">
        <v>2946.84</v>
      </c>
      <c r="R31" s="23">
        <v>-1.19734433189062</v>
      </c>
      <c r="S31" s="23">
        <v>-1.40730565480356</v>
      </c>
      <c r="T31" s="23">
        <v>-1.02871390321367</v>
      </c>
      <c r="U31" s="23">
        <v>-1.1690910233621</v>
      </c>
      <c r="V31" s="23">
        <v>0.631746033587539</v>
      </c>
      <c r="W31" s="23">
        <v>1.02702775563742</v>
      </c>
      <c r="X31" s="23">
        <v>0.993695599849427</v>
      </c>
      <c r="Y31" s="23">
        <v>0.499143302314998</v>
      </c>
      <c r="Z31">
        <f t="shared" si="0"/>
        <v>1.82909036547816</v>
      </c>
      <c r="AA31">
        <f>W31-S31</f>
        <v>2.43433341044098</v>
      </c>
      <c r="AB31">
        <f>X31-T31</f>
        <v>2.0224095030631</v>
      </c>
      <c r="AC31">
        <f>Y31-U31</f>
        <v>1.6682343256771</v>
      </c>
    </row>
    <row r="32" spans="1:29">
      <c r="A32" s="3" t="s">
        <v>89</v>
      </c>
      <c r="B32" s="3" t="s">
        <v>90</v>
      </c>
      <c r="C32" s="4" t="str">
        <f>VLOOKUP(A32,Sheet3!A:C,2,FALSE)</f>
        <v>Fuyang</v>
      </c>
      <c r="D32" s="5" t="str">
        <f>VLOOKUP(A32,Sheet3!A:C,3,FALSE)</f>
        <v>Fy</v>
      </c>
      <c r="E32" s="8">
        <v>31</v>
      </c>
      <c r="F32" s="13">
        <v>763.3292</v>
      </c>
      <c r="G32" s="14">
        <v>800.3963</v>
      </c>
      <c r="H32" s="14">
        <v>759.9913</v>
      </c>
      <c r="I32" s="14">
        <v>820.0264</v>
      </c>
      <c r="J32" s="13">
        <v>1654.35</v>
      </c>
      <c r="K32" s="14">
        <v>1745.69</v>
      </c>
      <c r="L32" s="14">
        <v>1855.67</v>
      </c>
      <c r="M32" s="21">
        <v>1977.96</v>
      </c>
      <c r="N32" s="14">
        <v>47.0005</v>
      </c>
      <c r="O32" s="14">
        <v>262.1354</v>
      </c>
      <c r="P32" s="14">
        <v>924.0928</v>
      </c>
      <c r="Q32" s="14">
        <v>2724.4536</v>
      </c>
      <c r="R32" s="23">
        <v>-1.91130166858051</v>
      </c>
      <c r="S32" s="23">
        <v>-1.47318591007996</v>
      </c>
      <c r="T32" s="23">
        <v>-0.855459084754235</v>
      </c>
      <c r="U32" s="23">
        <v>-0.59164603725124</v>
      </c>
      <c r="V32" s="23">
        <v>2.97776811998611</v>
      </c>
      <c r="W32" s="23">
        <v>2.95666862174221</v>
      </c>
      <c r="X32" s="23">
        <v>2.60641223333797</v>
      </c>
      <c r="Y32" s="23">
        <v>2.38062241748002</v>
      </c>
      <c r="Z32">
        <f t="shared" si="0"/>
        <v>4.88906978856662</v>
      </c>
      <c r="AA32">
        <f>W32-S32</f>
        <v>4.42985453182217</v>
      </c>
      <c r="AB32">
        <f>X32-T32</f>
        <v>3.4618713180922</v>
      </c>
      <c r="AC32">
        <f>Y32-U32</f>
        <v>2.97226845473126</v>
      </c>
    </row>
    <row r="33" spans="1:29">
      <c r="A33" s="3" t="s">
        <v>91</v>
      </c>
      <c r="B33" s="3" t="s">
        <v>92</v>
      </c>
      <c r="C33" s="4" t="str">
        <f>VLOOKUP(A33,Sheet3!A:C,2,FALSE)</f>
        <v>Hefei</v>
      </c>
      <c r="D33" s="5" t="str">
        <f>VLOOKUP(A33,Sheet3!A:C,3,FALSE)</f>
        <v>Hf</v>
      </c>
      <c r="E33" s="8">
        <v>32</v>
      </c>
      <c r="F33" s="13">
        <v>573.8927</v>
      </c>
      <c r="G33" s="14">
        <v>639.2122</v>
      </c>
      <c r="H33" s="14">
        <v>745.7027</v>
      </c>
      <c r="I33" s="14">
        <v>936.9881</v>
      </c>
      <c r="J33" s="13">
        <v>1158.15</v>
      </c>
      <c r="K33" s="14">
        <v>1364.9</v>
      </c>
      <c r="L33" s="14">
        <v>1749.7</v>
      </c>
      <c r="M33" s="21">
        <v>2025.12</v>
      </c>
      <c r="N33" s="14">
        <v>58.19</v>
      </c>
      <c r="O33" s="14">
        <v>487.51</v>
      </c>
      <c r="P33" s="14">
        <v>2976.08</v>
      </c>
      <c r="Q33" s="14">
        <v>10005.56</v>
      </c>
      <c r="R33" s="23">
        <v>-1.11607635117385</v>
      </c>
      <c r="S33" s="23">
        <v>-1.08286230510426</v>
      </c>
      <c r="T33" s="23">
        <v>-0.671585655912064</v>
      </c>
      <c r="U33" s="23">
        <v>-0.191618334270745</v>
      </c>
      <c r="V33" s="23">
        <v>1.60179815219142</v>
      </c>
      <c r="W33" s="23">
        <v>1.12928614201684</v>
      </c>
      <c r="X33" s="23">
        <v>0.500596829381108</v>
      </c>
      <c r="Y33" s="23">
        <v>-0.0770565298185484</v>
      </c>
      <c r="Z33">
        <f t="shared" si="0"/>
        <v>2.71787450336527</v>
      </c>
      <c r="AA33">
        <f>W33-S33</f>
        <v>2.2121484471211</v>
      </c>
      <c r="AB33">
        <f>X33-T33</f>
        <v>1.17218248529317</v>
      </c>
      <c r="AC33">
        <f>Y33-U33</f>
        <v>0.114561804452197</v>
      </c>
    </row>
    <row r="34" spans="1:29">
      <c r="A34" s="3" t="s">
        <v>93</v>
      </c>
      <c r="B34" s="3" t="s">
        <v>94</v>
      </c>
      <c r="C34" s="4" t="str">
        <f>VLOOKUP(A34,Sheet3!A:C,2,FALSE)</f>
        <v>Huaibei</v>
      </c>
      <c r="D34" s="5" t="str">
        <f>VLOOKUP(A34,Sheet3!A:C,3,FALSE)</f>
        <v>Hb</v>
      </c>
      <c r="E34" s="8">
        <v>33</v>
      </c>
      <c r="F34" s="13">
        <v>161.5088</v>
      </c>
      <c r="G34" s="14">
        <v>187.8164</v>
      </c>
      <c r="H34" s="14">
        <v>211.4276</v>
      </c>
      <c r="I34" s="14">
        <v>197.0265</v>
      </c>
      <c r="J34" s="13">
        <v>374.09</v>
      </c>
      <c r="K34" s="14">
        <v>392.38</v>
      </c>
      <c r="L34" s="14">
        <v>454.72</v>
      </c>
      <c r="M34" s="21">
        <v>524.51</v>
      </c>
      <c r="N34" s="14">
        <v>27.2712</v>
      </c>
      <c r="O34" s="14">
        <v>149.699</v>
      </c>
      <c r="P34" s="14">
        <v>492.2679</v>
      </c>
      <c r="Q34" s="14">
        <v>1119.0691</v>
      </c>
      <c r="R34" s="23">
        <v>-0.494538635185774</v>
      </c>
      <c r="S34" s="23">
        <v>-0.290432126292974</v>
      </c>
      <c r="T34" s="23">
        <v>-0.0927607853814891</v>
      </c>
      <c r="U34" s="23">
        <v>-0.243730617509745</v>
      </c>
      <c r="V34" s="23">
        <v>0.147126572103204</v>
      </c>
      <c r="W34" s="23">
        <v>0.303217013512995</v>
      </c>
      <c r="X34" s="23">
        <v>0.491335608397975</v>
      </c>
      <c r="Y34" s="23">
        <v>0.383490324676861</v>
      </c>
      <c r="Z34">
        <f t="shared" si="0"/>
        <v>0.641665207288978</v>
      </c>
      <c r="AA34">
        <f>W34-S34</f>
        <v>0.593649139805969</v>
      </c>
      <c r="AB34">
        <f>X34-T34</f>
        <v>0.584096393779464</v>
      </c>
      <c r="AC34">
        <f>Y34-U34</f>
        <v>0.627220942186606</v>
      </c>
    </row>
    <row r="35" spans="1:29">
      <c r="A35" s="3" t="s">
        <v>95</v>
      </c>
      <c r="B35" s="3" t="s">
        <v>96</v>
      </c>
      <c r="C35" s="4" t="str">
        <f>VLOOKUP(A35,Sheet3!A:C,2,FALSE)</f>
        <v>Huainan</v>
      </c>
      <c r="D35" s="5" t="str">
        <f>VLOOKUP(A35,Sheet3!A:C,3,FALSE)</f>
        <v>Hn</v>
      </c>
      <c r="E35" s="8">
        <v>34</v>
      </c>
      <c r="F35" s="13">
        <v>298.3297</v>
      </c>
      <c r="G35" s="14">
        <v>315.3218</v>
      </c>
      <c r="H35" s="14">
        <v>334.2012</v>
      </c>
      <c r="I35" s="14">
        <v>303.3528</v>
      </c>
      <c r="J35" s="13">
        <v>643.03</v>
      </c>
      <c r="K35" s="14">
        <v>698.36</v>
      </c>
      <c r="L35" s="14">
        <v>773.24</v>
      </c>
      <c r="M35" s="21">
        <v>851.25</v>
      </c>
      <c r="N35" s="14">
        <v>30.6605</v>
      </c>
      <c r="O35" s="14">
        <v>132.8249</v>
      </c>
      <c r="P35" s="14">
        <v>707.0175</v>
      </c>
      <c r="Q35" s="14">
        <v>1305.6919</v>
      </c>
      <c r="R35" s="23">
        <v>-0.733743310352149</v>
      </c>
      <c r="S35" s="23">
        <v>-0.614425952228047</v>
      </c>
      <c r="T35" s="23">
        <v>-0.275202142498106</v>
      </c>
      <c r="U35" s="23">
        <v>-0.46532750798594</v>
      </c>
      <c r="V35" s="23">
        <v>0.821208095558275</v>
      </c>
      <c r="W35" s="23">
        <v>1.03390436335601</v>
      </c>
      <c r="X35" s="23">
        <v>0.847322179119226</v>
      </c>
      <c r="Y35" s="23">
        <v>0.759793375168369</v>
      </c>
      <c r="Z35">
        <f t="shared" si="0"/>
        <v>1.55495140591042</v>
      </c>
      <c r="AA35">
        <f>W35-S35</f>
        <v>1.64833031558406</v>
      </c>
      <c r="AB35">
        <f>X35-T35</f>
        <v>1.12252432161733</v>
      </c>
      <c r="AC35">
        <f>Y35-U35</f>
        <v>1.22512088315431</v>
      </c>
    </row>
    <row r="36" spans="1:29">
      <c r="A36" s="3" t="s">
        <v>97</v>
      </c>
      <c r="B36" s="3" t="s">
        <v>98</v>
      </c>
      <c r="C36" s="4" t="str">
        <f>VLOOKUP(A36,Sheet3!A:C,2,FALSE)</f>
        <v>Huangshan</v>
      </c>
      <c r="D36" s="5" t="str">
        <f>VLOOKUP(A36,Sheet3!A:C,3,FALSE)</f>
        <v>Hs</v>
      </c>
      <c r="E36" s="8">
        <v>35</v>
      </c>
      <c r="F36" s="13">
        <v>140.6707</v>
      </c>
      <c r="G36" s="14">
        <v>137.0377</v>
      </c>
      <c r="H36" s="14">
        <v>135.898</v>
      </c>
      <c r="I36" s="14">
        <v>133.0565</v>
      </c>
      <c r="J36" s="13">
        <v>65.4</v>
      </c>
      <c r="K36" s="14">
        <v>73.26</v>
      </c>
      <c r="L36" s="14">
        <v>139.2</v>
      </c>
      <c r="M36" s="21">
        <v>160.84</v>
      </c>
      <c r="N36" s="14">
        <v>18.0039</v>
      </c>
      <c r="O36" s="14">
        <v>85.2437</v>
      </c>
      <c r="P36" s="14">
        <v>310.13</v>
      </c>
      <c r="Q36" s="14">
        <v>850.3743</v>
      </c>
      <c r="R36" s="23">
        <v>0.545110354287702</v>
      </c>
      <c r="S36" s="23">
        <v>0.470365976588384</v>
      </c>
      <c r="T36" s="23">
        <v>0.30172048897603</v>
      </c>
      <c r="U36" s="23">
        <v>0.234080512159117</v>
      </c>
      <c r="V36" s="23">
        <v>0.288371483909676</v>
      </c>
      <c r="W36" s="23">
        <v>0.327453540066415</v>
      </c>
      <c r="X36" s="23">
        <v>0.322056598829568</v>
      </c>
      <c r="Y36" s="23">
        <v>0.220570902031718</v>
      </c>
      <c r="Z36">
        <f t="shared" si="0"/>
        <v>-0.256738870378026</v>
      </c>
      <c r="AA36">
        <f>W36-S36</f>
        <v>-0.142912436521969</v>
      </c>
      <c r="AB36">
        <f>X36-T36</f>
        <v>0.020336109853538</v>
      </c>
      <c r="AC36">
        <f>Y36-U36</f>
        <v>-0.013509610127399</v>
      </c>
    </row>
    <row r="37" spans="1:29">
      <c r="A37" s="3" t="s">
        <v>99</v>
      </c>
      <c r="B37" s="3" t="s">
        <v>100</v>
      </c>
      <c r="C37" s="4" t="str">
        <f>VLOOKUP(A37,Sheet3!A:C,2,FALSE)</f>
        <v>Lu'an</v>
      </c>
      <c r="D37" s="5" t="str">
        <f>VLOOKUP(A37,Sheet3!A:C,3,FALSE)</f>
        <v>La</v>
      </c>
      <c r="E37" s="8">
        <v>36</v>
      </c>
      <c r="F37" s="13">
        <v>488.1818</v>
      </c>
      <c r="G37" s="14">
        <v>484.2084</v>
      </c>
      <c r="H37" s="14">
        <v>460.3585</v>
      </c>
      <c r="I37" s="14">
        <v>439.3699</v>
      </c>
      <c r="J37" s="13">
        <v>769.08</v>
      </c>
      <c r="K37" s="14">
        <v>809.11</v>
      </c>
      <c r="L37" s="14">
        <v>900.14</v>
      </c>
      <c r="M37" s="21">
        <v>1044.59</v>
      </c>
      <c r="N37" s="14">
        <v>39.42</v>
      </c>
      <c r="O37" s="14">
        <v>160.1</v>
      </c>
      <c r="P37" s="14">
        <v>614.12</v>
      </c>
      <c r="Q37" s="14">
        <v>1669.45</v>
      </c>
      <c r="R37" s="23">
        <v>-0.139635456473577</v>
      </c>
      <c r="S37" s="23">
        <v>-0.100280275706532</v>
      </c>
      <c r="T37" s="23">
        <v>0.0103746805018873</v>
      </c>
      <c r="U37" s="23">
        <v>-0.28566522937636</v>
      </c>
      <c r="V37" s="23">
        <v>1.64349823741182</v>
      </c>
      <c r="W37" s="23">
        <v>1.781943978702</v>
      </c>
      <c r="X37" s="23">
        <v>1.52478411808313</v>
      </c>
      <c r="Y37" s="23">
        <v>1.19043757559018</v>
      </c>
      <c r="Z37">
        <f t="shared" si="0"/>
        <v>1.7831336938854</v>
      </c>
      <c r="AA37">
        <f>W37-S37</f>
        <v>1.88222425440853</v>
      </c>
      <c r="AB37">
        <f>X37-T37</f>
        <v>1.51440943758124</v>
      </c>
      <c r="AC37">
        <f>Y37-U37</f>
        <v>1.47610280496654</v>
      </c>
    </row>
    <row r="38" spans="1:29">
      <c r="A38" s="3" t="s">
        <v>101</v>
      </c>
      <c r="B38" s="3" t="s">
        <v>102</v>
      </c>
      <c r="C38" s="4" t="str">
        <f>VLOOKUP(A38,Sheet3!A:C,2,FALSE)</f>
        <v>Maanshan</v>
      </c>
      <c r="D38" s="5" t="str">
        <f>VLOOKUP(A38,Sheet3!A:C,3,FALSE)</f>
        <v>Ms</v>
      </c>
      <c r="E38" s="8">
        <v>37</v>
      </c>
      <c r="F38" s="13">
        <v>203.5802</v>
      </c>
      <c r="G38" s="14">
        <v>219.3546</v>
      </c>
      <c r="H38" s="14">
        <v>220.2899</v>
      </c>
      <c r="I38" s="14">
        <v>215.993</v>
      </c>
      <c r="J38" s="13">
        <v>271.3</v>
      </c>
      <c r="K38" s="14">
        <v>354.84</v>
      </c>
      <c r="L38" s="14">
        <v>459.53</v>
      </c>
      <c r="M38" s="21">
        <v>500.21</v>
      </c>
      <c r="N38" s="14">
        <v>29.4504</v>
      </c>
      <c r="O38" s="14">
        <v>137.6604</v>
      </c>
      <c r="P38" s="14">
        <v>932.22</v>
      </c>
      <c r="Q38" s="14">
        <v>2102.7</v>
      </c>
      <c r="R38" s="23">
        <v>0.126950993273529</v>
      </c>
      <c r="S38" s="23">
        <v>-0.00795597754092974</v>
      </c>
      <c r="T38" s="23">
        <v>-0.0630108577985259</v>
      </c>
      <c r="U38" s="23">
        <v>-0.112996234989452</v>
      </c>
      <c r="V38" s="23">
        <v>0.322710920417412</v>
      </c>
      <c r="W38" s="23">
        <v>0.518783818549091</v>
      </c>
      <c r="X38" s="23">
        <v>0.0951554928053341</v>
      </c>
      <c r="Y38" s="23">
        <v>0.0649325420235313</v>
      </c>
      <c r="Z38">
        <f t="shared" si="0"/>
        <v>0.195759927143883</v>
      </c>
      <c r="AA38">
        <f>W38-S38</f>
        <v>0.526739796090021</v>
      </c>
      <c r="AB38">
        <f>X38-T38</f>
        <v>0.15816635060386</v>
      </c>
      <c r="AC38">
        <f>Y38-U38</f>
        <v>0.177928777012983</v>
      </c>
    </row>
    <row r="39" spans="1:29">
      <c r="A39" s="3" t="s">
        <v>103</v>
      </c>
      <c r="B39" s="3" t="s">
        <v>104</v>
      </c>
      <c r="C39" s="4" t="str">
        <f>VLOOKUP(A39,Sheet3!A:C,2,FALSE)</f>
        <v>Suzhou</v>
      </c>
      <c r="D39" s="5" t="str">
        <f>VLOOKUP(A39,Sheet3!A:C,3,FALSE)</f>
        <v>Szh</v>
      </c>
      <c r="E39" s="8">
        <v>38</v>
      </c>
      <c r="F39" s="13">
        <v>496.2961</v>
      </c>
      <c r="G39" s="14">
        <v>551.6423</v>
      </c>
      <c r="H39" s="14">
        <v>535.2924</v>
      </c>
      <c r="I39" s="14">
        <v>532.4476</v>
      </c>
      <c r="J39" s="13">
        <v>1421.39</v>
      </c>
      <c r="K39" s="14">
        <v>1552.82</v>
      </c>
      <c r="L39" s="14">
        <v>1630.26</v>
      </c>
      <c r="M39" s="21">
        <v>1733.61</v>
      </c>
      <c r="N39" s="14">
        <v>39.0156</v>
      </c>
      <c r="O39" s="14">
        <v>177.0334</v>
      </c>
      <c r="P39" s="14">
        <v>650.57</v>
      </c>
      <c r="Q39" s="14">
        <v>1969.24</v>
      </c>
      <c r="R39" s="23">
        <v>-2.53834371858352</v>
      </c>
      <c r="S39" s="23">
        <v>-2.13520876986094</v>
      </c>
      <c r="T39" s="23">
        <v>-1.36554425602119</v>
      </c>
      <c r="U39" s="23">
        <v>-1.3104987871057</v>
      </c>
      <c r="V39" s="23">
        <v>1.70034905821425</v>
      </c>
      <c r="W39" s="23">
        <v>2.05386162148967</v>
      </c>
      <c r="X39" s="23">
        <v>1.83610465500897</v>
      </c>
      <c r="Y39" s="23">
        <v>1.46448747744454</v>
      </c>
      <c r="Z39">
        <f t="shared" si="0"/>
        <v>4.23869277679777</v>
      </c>
      <c r="AA39">
        <f>W39-S39</f>
        <v>4.18907039135061</v>
      </c>
      <c r="AB39">
        <f>X39-T39</f>
        <v>3.20164891103016</v>
      </c>
      <c r="AC39">
        <f>Y39-U39</f>
        <v>2.77498626455024</v>
      </c>
    </row>
    <row r="40" spans="1:29">
      <c r="A40" s="3" t="s">
        <v>105</v>
      </c>
      <c r="B40" s="3" t="s">
        <v>106</v>
      </c>
      <c r="C40" s="4" t="str">
        <f>VLOOKUP(A40,Sheet3!A:C,2,FALSE)</f>
        <v>Tongling</v>
      </c>
      <c r="D40" s="5" t="str">
        <f>VLOOKUP(A40,Sheet3!A:C,3,FALSE)</f>
        <v>Tl</v>
      </c>
      <c r="E40" s="8">
        <v>39</v>
      </c>
      <c r="F40" s="13">
        <v>150.5894</v>
      </c>
      <c r="G40" s="14">
        <v>144.2667</v>
      </c>
      <c r="H40" s="14">
        <v>156.267</v>
      </c>
      <c r="I40" s="14">
        <v>131.1726</v>
      </c>
      <c r="J40" s="13">
        <v>156.27</v>
      </c>
      <c r="K40" s="14">
        <v>166.16</v>
      </c>
      <c r="L40" s="14">
        <v>239.39</v>
      </c>
      <c r="M40" s="21">
        <v>275.05</v>
      </c>
      <c r="N40" s="14">
        <v>13.8615</v>
      </c>
      <c r="O40" s="14">
        <v>75.7087</v>
      </c>
      <c r="P40" s="14">
        <v>455.88</v>
      </c>
      <c r="Q40" s="14">
        <v>1003.67</v>
      </c>
      <c r="R40" s="23">
        <v>0.260324124385556</v>
      </c>
      <c r="S40" s="23">
        <v>0.210029447180683</v>
      </c>
      <c r="T40" s="23">
        <v>0.159692297751815</v>
      </c>
      <c r="U40" s="23">
        <v>-0.00939498553017819</v>
      </c>
      <c r="V40" s="23">
        <v>0.459542689575499</v>
      </c>
      <c r="W40" s="23">
        <v>0.406873091047551</v>
      </c>
      <c r="X40" s="23">
        <v>0.271663515668645</v>
      </c>
      <c r="Y40" s="23">
        <v>0.150348651997887</v>
      </c>
      <c r="Z40">
        <f t="shared" si="0"/>
        <v>0.199218565189943</v>
      </c>
      <c r="AA40">
        <f>W40-S40</f>
        <v>0.196843643866868</v>
      </c>
      <c r="AB40">
        <f>X40-T40</f>
        <v>0.11197121791683</v>
      </c>
      <c r="AC40">
        <f>Y40-U40</f>
        <v>0.159743637528065</v>
      </c>
    </row>
    <row r="41" spans="1:29">
      <c r="A41" s="3" t="s">
        <v>107</v>
      </c>
      <c r="B41" s="3" t="s">
        <v>108</v>
      </c>
      <c r="C41" s="4" t="str">
        <f>VLOOKUP(A41,Sheet3!A:C,2,FALSE)</f>
        <v>Wuhu</v>
      </c>
      <c r="D41" s="5" t="str">
        <f>VLOOKUP(A41,Sheet3!A:C,3,FALSE)</f>
        <v>Wh</v>
      </c>
      <c r="E41" s="8">
        <v>40</v>
      </c>
      <c r="F41" s="13">
        <v>324.546</v>
      </c>
      <c r="G41" s="14">
        <v>336.7502</v>
      </c>
      <c r="H41" s="14">
        <v>354.5067</v>
      </c>
      <c r="I41" s="14">
        <v>364.442</v>
      </c>
      <c r="J41" s="13">
        <v>285.37</v>
      </c>
      <c r="K41" s="14">
        <v>364.03</v>
      </c>
      <c r="L41" s="14">
        <v>503.95</v>
      </c>
      <c r="M41" s="21">
        <v>616</v>
      </c>
      <c r="N41" s="14">
        <v>33.9396</v>
      </c>
      <c r="O41" s="14">
        <v>274.3378</v>
      </c>
      <c r="P41" s="14">
        <v>1329.42</v>
      </c>
      <c r="Q41" s="14">
        <v>3714.137</v>
      </c>
      <c r="R41" s="23">
        <v>0.753715387766787</v>
      </c>
      <c r="S41" s="23">
        <v>0.566554775800798</v>
      </c>
      <c r="T41" s="23">
        <v>0.45464289855657</v>
      </c>
      <c r="U41" s="23">
        <v>0.279404135533217</v>
      </c>
      <c r="V41" s="23">
        <v>0.877075340459428</v>
      </c>
      <c r="W41" s="23">
        <v>0.517391947259272</v>
      </c>
      <c r="X41" s="23">
        <v>0.322872552058824</v>
      </c>
      <c r="Y41" s="23">
        <v>0.0420771875964739</v>
      </c>
      <c r="Z41">
        <f t="shared" si="0"/>
        <v>0.123359952692641</v>
      </c>
      <c r="AA41">
        <f>W41-S41</f>
        <v>-0.0491628285415261</v>
      </c>
      <c r="AB41">
        <f>X41-T41</f>
        <v>-0.131770346497746</v>
      </c>
      <c r="AC41">
        <f>Y41-U41</f>
        <v>-0.237326947936743</v>
      </c>
    </row>
    <row r="42" spans="1:29">
      <c r="A42" s="3" t="s">
        <v>109</v>
      </c>
      <c r="B42" s="3" t="s">
        <v>110</v>
      </c>
      <c r="C42" s="4" t="str">
        <f>VLOOKUP(A42,Sheet3!A:C,2,FALSE)</f>
        <v>Xuancheng</v>
      </c>
      <c r="D42" s="5" t="str">
        <f>VLOOKUP(A42,Sheet3!A:C,3,FALSE)</f>
        <v>Xc</v>
      </c>
      <c r="E42" s="8">
        <v>41</v>
      </c>
      <c r="F42" s="15">
        <v>263.0959</v>
      </c>
      <c r="G42" s="16">
        <v>265.9639</v>
      </c>
      <c r="H42" s="16">
        <v>253.2938</v>
      </c>
      <c r="I42" s="16">
        <v>250.0063</v>
      </c>
      <c r="J42" s="15">
        <v>202.68</v>
      </c>
      <c r="K42" s="16">
        <v>232.55</v>
      </c>
      <c r="L42" s="16">
        <v>339.43</v>
      </c>
      <c r="M42" s="22">
        <v>405.56</v>
      </c>
      <c r="N42" s="16">
        <v>29.6284</v>
      </c>
      <c r="O42" s="16">
        <v>162.5</v>
      </c>
      <c r="P42" s="16">
        <v>552.04</v>
      </c>
      <c r="Q42" s="16">
        <v>1591.4</v>
      </c>
      <c r="R42" s="23">
        <v>0.718389069829</v>
      </c>
      <c r="S42" s="23">
        <v>0.623478239961708</v>
      </c>
      <c r="T42" s="23">
        <v>0.373563273594803</v>
      </c>
      <c r="U42" s="23">
        <v>0.226749161522056</v>
      </c>
      <c r="V42" s="23">
        <v>0.652060035482913</v>
      </c>
      <c r="W42" s="23">
        <v>0.648553024084715</v>
      </c>
      <c r="X42" s="23">
        <v>0.62610480110517</v>
      </c>
      <c r="Y42" s="23">
        <v>0.417042531426392</v>
      </c>
      <c r="Z42">
        <f t="shared" si="0"/>
        <v>-0.0663290343460869</v>
      </c>
      <c r="AA42">
        <f>W42-S42</f>
        <v>0.025074784123007</v>
      </c>
      <c r="AB42">
        <f>X42-T42</f>
        <v>0.252541527510367</v>
      </c>
      <c r="AC42">
        <f>Y42-U42</f>
        <v>0.190293369904336</v>
      </c>
    </row>
    <row r="43" spans="18:25">
      <c r="R43" s="25"/>
      <c r="S43" s="25"/>
      <c r="T43" s="25"/>
      <c r="U43" s="25"/>
      <c r="V43" s="25"/>
      <c r="W43" s="25"/>
      <c r="X43" s="25"/>
      <c r="Y43" s="25"/>
    </row>
    <row r="44" spans="18:25">
      <c r="R44" s="25"/>
      <c r="S44" s="25"/>
      <c r="T44" s="25"/>
      <c r="U44" s="25"/>
      <c r="V44" s="25"/>
      <c r="W44" s="25"/>
      <c r="X44" s="25"/>
      <c r="Y44" s="25"/>
    </row>
    <row r="45" spans="18:25">
      <c r="R45" s="25"/>
      <c r="S45" s="25"/>
      <c r="T45" s="25"/>
      <c r="U45" s="25"/>
      <c r="V45" s="25"/>
      <c r="W45" s="25"/>
      <c r="X45" s="25"/>
      <c r="Y45" s="25"/>
    </row>
  </sheetData>
  <conditionalFormatting sqref="D$1:D$1048576">
    <cfRule type="duplicateValues" dxfId="0" priority="5"/>
  </conditionalFormatting>
  <conditionalFormatting sqref="F2:I4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{ffb8a77c-6e3d-453d-b72c-bc2ae1ed1e97}</x14:id>
        </ext>
      </extLst>
    </cfRule>
  </conditionalFormatting>
  <conditionalFormatting sqref="R2:Y4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{e4509486-a8aa-414e-a29a-9f6eaca5761f}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b8a77c-6e3d-453d-b72c-bc2ae1ed1e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F2:I42</xm:sqref>
        </x14:conditionalFormatting>
        <x14:conditionalFormatting xmlns:xm="http://schemas.microsoft.com/office/excel/2006/main">
          <x14:cfRule type="dataBar" id="{e4509486-a8aa-414e-a29a-9f6eaca57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R2:Y42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G19" sqref="G19"/>
    </sheetView>
  </sheetViews>
  <sheetFormatPr defaultColWidth="9.23076923076923" defaultRowHeight="16.8" outlineLevelCol="2"/>
  <sheetData>
    <row r="1" spans="1:3">
      <c r="A1" t="s">
        <v>111</v>
      </c>
      <c r="B1" t="s">
        <v>112</v>
      </c>
      <c r="C1" t="s">
        <v>113</v>
      </c>
    </row>
    <row r="2" spans="1:3">
      <c r="A2" t="s">
        <v>29</v>
      </c>
      <c r="B2" t="s">
        <v>114</v>
      </c>
      <c r="C2" t="s">
        <v>115</v>
      </c>
    </row>
    <row r="3" spans="1:3">
      <c r="A3" t="s">
        <v>31</v>
      </c>
      <c r="B3" t="s">
        <v>116</v>
      </c>
      <c r="C3" t="s">
        <v>117</v>
      </c>
    </row>
    <row r="4" spans="1:3">
      <c r="A4" t="s">
        <v>33</v>
      </c>
      <c r="B4" t="s">
        <v>118</v>
      </c>
      <c r="C4" t="s">
        <v>119</v>
      </c>
    </row>
    <row r="5" spans="1:3">
      <c r="A5" t="s">
        <v>35</v>
      </c>
      <c r="B5" t="s">
        <v>120</v>
      </c>
      <c r="C5" t="s">
        <v>121</v>
      </c>
    </row>
    <row r="6" spans="1:3">
      <c r="A6" t="s">
        <v>37</v>
      </c>
      <c r="B6" t="s">
        <v>122</v>
      </c>
      <c r="C6" t="s">
        <v>123</v>
      </c>
    </row>
    <row r="7" spans="1:3">
      <c r="A7" t="s">
        <v>39</v>
      </c>
      <c r="B7" t="s">
        <v>124</v>
      </c>
      <c r="C7" t="s">
        <v>125</v>
      </c>
    </row>
    <row r="8" spans="1:3">
      <c r="A8" t="s">
        <v>41</v>
      </c>
      <c r="B8" t="s">
        <v>126</v>
      </c>
      <c r="C8" t="s">
        <v>127</v>
      </c>
    </row>
    <row r="9" spans="1:3">
      <c r="A9" t="s">
        <v>43</v>
      </c>
      <c r="B9" t="s">
        <v>128</v>
      </c>
      <c r="C9" t="s">
        <v>129</v>
      </c>
    </row>
    <row r="10" spans="1:3">
      <c r="A10" t="s">
        <v>45</v>
      </c>
      <c r="B10" t="s">
        <v>130</v>
      </c>
      <c r="C10" t="s">
        <v>131</v>
      </c>
    </row>
    <row r="11" spans="1:3">
      <c r="A11" t="s">
        <v>47</v>
      </c>
      <c r="B11" t="s">
        <v>132</v>
      </c>
      <c r="C11" t="s">
        <v>133</v>
      </c>
    </row>
    <row r="12" spans="1:3">
      <c r="A12" t="s">
        <v>49</v>
      </c>
      <c r="B12" t="s">
        <v>134</v>
      </c>
      <c r="C12" t="s">
        <v>135</v>
      </c>
    </row>
    <row r="13" spans="1:3">
      <c r="A13" t="s">
        <v>51</v>
      </c>
      <c r="B13" t="s">
        <v>136</v>
      </c>
      <c r="C13" t="s">
        <v>137</v>
      </c>
    </row>
    <row r="14" spans="1:3">
      <c r="A14" t="s">
        <v>53</v>
      </c>
      <c r="B14" t="s">
        <v>138</v>
      </c>
      <c r="C14" t="s">
        <v>139</v>
      </c>
    </row>
    <row r="15" spans="1:3">
      <c r="A15" t="s">
        <v>55</v>
      </c>
      <c r="B15" t="s">
        <v>140</v>
      </c>
      <c r="C15" t="s">
        <v>141</v>
      </c>
    </row>
    <row r="16" spans="1:3">
      <c r="A16" t="s">
        <v>57</v>
      </c>
      <c r="B16" t="s">
        <v>142</v>
      </c>
      <c r="C16" t="s">
        <v>143</v>
      </c>
    </row>
    <row r="17" spans="1:3">
      <c r="A17" t="s">
        <v>59</v>
      </c>
      <c r="B17" t="s">
        <v>144</v>
      </c>
      <c r="C17" t="s">
        <v>145</v>
      </c>
    </row>
    <row r="18" spans="1:3">
      <c r="A18" t="s">
        <v>61</v>
      </c>
      <c r="B18" t="s">
        <v>146</v>
      </c>
      <c r="C18" t="s">
        <v>147</v>
      </c>
    </row>
    <row r="19" spans="1:3">
      <c r="A19" t="s">
        <v>63</v>
      </c>
      <c r="B19" t="s">
        <v>148</v>
      </c>
      <c r="C19" t="s">
        <v>149</v>
      </c>
    </row>
    <row r="20" spans="1:3">
      <c r="A20" t="s">
        <v>65</v>
      </c>
      <c r="B20" t="s">
        <v>150</v>
      </c>
      <c r="C20" t="s">
        <v>151</v>
      </c>
    </row>
    <row r="21" spans="1:3">
      <c r="A21" t="s">
        <v>67</v>
      </c>
      <c r="B21" t="s">
        <v>152</v>
      </c>
      <c r="C21" t="s">
        <v>153</v>
      </c>
    </row>
    <row r="22" spans="1:3">
      <c r="A22" t="s">
        <v>69</v>
      </c>
      <c r="B22" t="s">
        <v>154</v>
      </c>
      <c r="C22" t="s">
        <v>155</v>
      </c>
    </row>
    <row r="23" spans="1:3">
      <c r="A23" t="s">
        <v>71</v>
      </c>
      <c r="B23" t="s">
        <v>156</v>
      </c>
      <c r="C23" t="s">
        <v>157</v>
      </c>
    </row>
    <row r="24" spans="1:3">
      <c r="A24" t="s">
        <v>73</v>
      </c>
      <c r="B24" t="s">
        <v>130</v>
      </c>
      <c r="C24" t="s">
        <v>158</v>
      </c>
    </row>
    <row r="25" spans="1:3">
      <c r="A25" t="s">
        <v>75</v>
      </c>
      <c r="B25" t="s">
        <v>159</v>
      </c>
      <c r="C25" t="s">
        <v>160</v>
      </c>
    </row>
    <row r="26" spans="1:3">
      <c r="A26" t="s">
        <v>77</v>
      </c>
      <c r="B26" t="s">
        <v>161</v>
      </c>
      <c r="C26" t="s">
        <v>162</v>
      </c>
    </row>
    <row r="27" spans="1:3">
      <c r="A27" t="s">
        <v>79</v>
      </c>
      <c r="B27" t="s">
        <v>163</v>
      </c>
      <c r="C27" t="s">
        <v>164</v>
      </c>
    </row>
    <row r="28" spans="1:3">
      <c r="A28" t="s">
        <v>81</v>
      </c>
      <c r="B28" t="s">
        <v>165</v>
      </c>
      <c r="C28" t="s">
        <v>166</v>
      </c>
    </row>
    <row r="29" spans="1:3">
      <c r="A29" t="s">
        <v>83</v>
      </c>
      <c r="B29" t="s">
        <v>167</v>
      </c>
      <c r="C29" t="s">
        <v>168</v>
      </c>
    </row>
    <row r="30" spans="1:3">
      <c r="A30" t="s">
        <v>85</v>
      </c>
      <c r="B30" t="s">
        <v>169</v>
      </c>
      <c r="C30" t="s">
        <v>170</v>
      </c>
    </row>
    <row r="31" spans="1:3">
      <c r="A31" t="s">
        <v>87</v>
      </c>
      <c r="B31" t="s">
        <v>171</v>
      </c>
      <c r="C31" t="s">
        <v>172</v>
      </c>
    </row>
    <row r="32" spans="1:3">
      <c r="A32" t="s">
        <v>89</v>
      </c>
      <c r="B32" t="s">
        <v>173</v>
      </c>
      <c r="C32" t="s">
        <v>174</v>
      </c>
    </row>
    <row r="33" spans="1:3">
      <c r="A33" t="s">
        <v>91</v>
      </c>
      <c r="B33" t="s">
        <v>175</v>
      </c>
      <c r="C33" t="s">
        <v>176</v>
      </c>
    </row>
    <row r="34" spans="1:3">
      <c r="A34" t="s">
        <v>93</v>
      </c>
      <c r="B34" t="s">
        <v>177</v>
      </c>
      <c r="C34" t="s">
        <v>178</v>
      </c>
    </row>
    <row r="35" spans="1:3">
      <c r="A35" t="s">
        <v>95</v>
      </c>
      <c r="B35" t="s">
        <v>179</v>
      </c>
      <c r="C35" t="s">
        <v>180</v>
      </c>
    </row>
    <row r="36" spans="1:3">
      <c r="A36" t="s">
        <v>97</v>
      </c>
      <c r="B36" t="s">
        <v>181</v>
      </c>
      <c r="C36" t="s">
        <v>182</v>
      </c>
    </row>
    <row r="37" spans="1:3">
      <c r="A37" t="s">
        <v>99</v>
      </c>
      <c r="B37" t="s">
        <v>183</v>
      </c>
      <c r="C37" t="s">
        <v>184</v>
      </c>
    </row>
    <row r="38" spans="1:3">
      <c r="A38" t="s">
        <v>101</v>
      </c>
      <c r="B38" t="s">
        <v>185</v>
      </c>
      <c r="C38" t="s">
        <v>186</v>
      </c>
    </row>
    <row r="39" spans="1:3">
      <c r="A39" t="s">
        <v>103</v>
      </c>
      <c r="B39" t="s">
        <v>126</v>
      </c>
      <c r="C39" t="s">
        <v>187</v>
      </c>
    </row>
    <row r="40" spans="1:3">
      <c r="A40" t="s">
        <v>105</v>
      </c>
      <c r="B40" t="s">
        <v>188</v>
      </c>
      <c r="C40" t="s">
        <v>189</v>
      </c>
    </row>
    <row r="41" spans="1:3">
      <c r="A41" t="s">
        <v>107</v>
      </c>
      <c r="B41" t="s">
        <v>190</v>
      </c>
      <c r="C41" t="s">
        <v>191</v>
      </c>
    </row>
    <row r="42" spans="1:3">
      <c r="A42" t="s">
        <v>109</v>
      </c>
      <c r="B42" t="s">
        <v>192</v>
      </c>
      <c r="C42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zhouhuiling</dc:creator>
  <cp:lastModifiedBy>周荟玲</cp:lastModifiedBy>
  <dcterms:created xsi:type="dcterms:W3CDTF">2025-11-05T01:35:00Z</dcterms:created>
  <dcterms:modified xsi:type="dcterms:W3CDTF">2025-11-10T18:10:06Z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C071C00A4D9CA6F9787708698A8B2956_41</vt:lpwstr>
  </property>
  <property fmtid="{D5CDD505-2E9C-101B-9397-08002B2CF9AE}" pid="3" name="KSOProductBuildVer">
    <vt:lpwstr>2052-7.5.1.8994</vt:lpwstr>
  </property>
</Properties>
</file>